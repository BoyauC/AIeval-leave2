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我的雲端硬碟\_Gm2-共用區\_莊老師區\__AI手冊第二期計畫_20260201-1231\_AI競賽\國中高中組\"/>
    </mc:Choice>
  </mc:AlternateContent>
  <xr:revisionPtr revIDLastSave="0" documentId="13_ncr:1_{1235BF71-72E2-4A57-9232-AFEC4D806AD6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國中組" sheetId="1" r:id="rId1"/>
    <sheet name="評分標準" sheetId="2" r:id="rId2"/>
    <sheet name="優勝獎勵" sheetId="3" r:id="rId3"/>
    <sheet name="國中組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RW/5p3s4uzTYmjKzqigWCm0QxeFF4fcClb2olyLShM="/>
    </ext>
  </extLst>
</workbook>
</file>

<file path=xl/calcChain.xml><?xml version="1.0" encoding="utf-8"?>
<calcChain xmlns="http://schemas.openxmlformats.org/spreadsheetml/2006/main">
  <c r="F14" i="4" l="1"/>
  <c r="F13" i="4"/>
  <c r="F12" i="4"/>
  <c r="F11" i="4"/>
  <c r="F10" i="4"/>
  <c r="F9" i="4"/>
  <c r="F8" i="4"/>
  <c r="F7" i="4"/>
  <c r="E8" i="4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M8" i="1"/>
  <c r="H8" i="1"/>
  <c r="M7" i="1"/>
  <c r="H7" i="1"/>
  <c r="H6" i="1"/>
  <c r="E11" i="4" l="1"/>
  <c r="E14" i="4"/>
  <c r="E9" i="4"/>
  <c r="E12" i="4"/>
  <c r="E7" i="4"/>
  <c r="E10" i="4"/>
  <c r="E13" i="4"/>
  <c r="L11" i="1"/>
  <c r="L14" i="1"/>
  <c r="L8" i="1"/>
  <c r="L9" i="1"/>
  <c r="L10" i="1"/>
  <c r="L7" i="1"/>
  <c r="L13" i="1"/>
  <c r="L12" i="1"/>
</calcChain>
</file>

<file path=xl/sharedStrings.xml><?xml version="1.0" encoding="utf-8"?>
<sst xmlns="http://schemas.openxmlformats.org/spreadsheetml/2006/main" count="344" uniqueCount="195">
  <si>
    <t>【AI 識詐行動：有聲繪本創作競賽】國中組評分表單</t>
  </si>
  <si>
    <t>評審姓名</t>
  </si>
  <si>
    <t>莊宗嚴老師</t>
  </si>
  <si>
    <t>評分項目</t>
  </si>
  <si>
    <t>整體完成度</t>
  </si>
  <si>
    <t>總和</t>
  </si>
  <si>
    <t>比例</t>
  </si>
  <si>
    <t>組別</t>
  </si>
  <si>
    <t>題目</t>
  </si>
  <si>
    <t>請各位老師點選題目超連結觀看學生作品，並依評分項目填入對應分數，每項目最高20分；表單已設定公式自動加總及顯示前八高分，最後將依所有評審總分評選名次。</t>
  </si>
  <si>
    <t>影片連結</t>
  </si>
  <si>
    <t>按分數排列前八名</t>
  </si>
  <si>
    <r>
      <rPr>
        <b/>
        <sz val="11"/>
        <color rgb="FFFFFFFF"/>
        <rFont val="DFKai-SB"/>
        <family val="4"/>
        <charset val="136"/>
      </rPr>
      <t>影片狀態</t>
    </r>
  </si>
  <si>
    <r>
      <rPr>
        <b/>
        <sz val="11"/>
        <color rgb="FFFFFFFF"/>
        <rFont val="DFKai-SB"/>
        <family val="4"/>
        <charset val="136"/>
      </rPr>
      <t>查得</t>
    </r>
    <r>
      <rPr>
        <b/>
        <sz val="11"/>
        <color rgb="FFFFFFFF"/>
        <rFont val="Calibri"/>
        <family val="2"/>
      </rPr>
      <t>/</t>
    </r>
    <r>
      <rPr>
        <b/>
        <sz val="11"/>
        <color rgb="FFFFFFFF"/>
        <rFont val="DFKai-SB"/>
        <family val="4"/>
        <charset val="136"/>
      </rPr>
      <t>推定影片標題</t>
    </r>
  </si>
  <si>
    <r>
      <rPr>
        <b/>
        <sz val="11"/>
        <color rgb="FFFFFFFF"/>
        <rFont val="DFKai-SB"/>
        <family val="4"/>
        <charset val="136"/>
      </rPr>
      <t>題目相符性</t>
    </r>
  </si>
  <si>
    <r>
      <rPr>
        <b/>
        <sz val="11"/>
        <color rgb="FFFFFFFF"/>
        <rFont val="DFKai-SB"/>
        <family val="4"/>
        <charset val="136"/>
      </rPr>
      <t>驗證備註</t>
    </r>
  </si>
  <si>
    <t>每天說早安的金俊熙</t>
  </si>
  <si>
    <t>https://youtu.be/gzY8O0c6i70</t>
  </si>
  <si>
    <t>名次</t>
  </si>
  <si>
    <t>分數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</si>
  <si>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</si>
  <si>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每天說早安的金俊熙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</si>
  <si>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</si>
  <si>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</si>
  <si>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追星的女孩:別讓愛變成陷阱</t>
  </si>
  <si>
    <t>https://youtu.be/KxoKh2r2E-Q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</si>
  <si>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</si>
  <si>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追星的女孩，別讓愛變成陷阱</t>
    </r>
    <r>
      <rPr>
        <sz val="11"/>
        <color theme="1"/>
        <rFont val="Calibri"/>
        <family val="2"/>
      </rPr>
      <t>!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</si>
  <si>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</si>
  <si>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DFKai-SB"/>
        <family val="4"/>
        <charset val="136"/>
      </rPr>
      <t>標點略不同；主標題一致</t>
    </r>
  </si>
  <si>
    <t>IG帥哥的真面目</t>
  </si>
  <si>
    <t>https://youtu.be/vgLGEDcWidE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</si>
  <si>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</si>
  <si>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Calibri"/>
        <family val="2"/>
      </rPr>
      <t>IG</t>
    </r>
    <r>
      <rPr>
        <sz val="11"/>
        <color theme="1"/>
        <rFont val="DFKai-SB"/>
        <family val="4"/>
        <charset val="136"/>
      </rPr>
      <t>帥哥的真面目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</si>
  <si>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</si>
  <si>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</si>
  <si>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指尖的藍色陷阱</t>
  </si>
  <si>
    <t>https://youtu.be/h6j-Hg2SCgE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</si>
  <si>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</si>
  <si>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指尖的藍色陷阱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</si>
  <si>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</si>
  <si>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</si>
  <si>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夢想的門票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</si>
  <si>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</si>
  <si>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夢想的門票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</si>
  <si>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</si>
  <si>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</si>
  <si>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造型與黑色訊息</t>
  </si>
  <si>
    <t>https://youtu.be/YE2WobswH00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</si>
  <si>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</si>
  <si>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造型與黑色訊息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</si>
  <si>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</si>
  <si>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</si>
  <si>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蟀哥的魅力</t>
  </si>
  <si>
    <t>https://youtu.be/0IexbOBFXiU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</si>
  <si>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</si>
  <si>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蟀哥的魅力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</si>
  <si>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</si>
  <si>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</si>
  <si>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香蕉與那張沒寄來的門票</t>
  </si>
  <si>
    <t>https://youtu.be/L31Chv-UEDk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</si>
  <si>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</si>
  <si>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香蕉與那張沒寄來的門票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</si>
  <si>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</si>
  <si>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</si>
  <si>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大橘的虛寶保衛戰</t>
  </si>
  <si>
    <t>https://o365kh-my.sharepoint.com/personal/justbeingfun_o365_kh_edu_tw/_layouts/15/stream.aspx?id=%2Fpersonal%2Fjustbeingfun%5Fo365%5Fkh%5Fedu%5Ftw%2FDocuments%2F20%5F%E5%88%86%E4%BA%AB%E5%8D%80%2F114%20AI%20%E7%B9%AA%E6%9C%AC%2F%E7%AC%AC1%E7%B5%84%EF%BC%88%E6%9F%8F%E9%9C%96%E3%80%81%E5%AE%A5%E7%91%8B%E3%80%81%E5%93%81%E5%AE%8F%EF%BC%89%2F4%2E%20%E4%BD%9C%E5%93%81%E7%B9%AA%E6%9C%AC%E5%BD%B1%E7%89%87%EF%BC%88%E7%9B%B4%E6%8E%A5%E4%B8%9F%E9%80%B2%E4%BE%86%EF%BC%89%2F%E5%A4%A7%E6%A9%98%E7%9A%84%E8%99%9B%E5%AF%B6%E4%BF%9D%E8%A1%9B%E6%88%B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%2E002c8e37%2D495f%2D4499%2D849e%2De0c67c808ba7</t>
  </si>
  <si>
    <t>OK</t>
  </si>
  <si>
    <r>
      <rPr>
        <sz val="11"/>
        <color theme="1"/>
        <rFont val="DFKai-SB"/>
        <family val="4"/>
        <charset val="136"/>
      </rPr>
      <t>大橘的虛寶保衛戰</t>
    </r>
    <r>
      <rPr>
        <sz val="11"/>
        <color theme="1"/>
        <rFont val="Calibri"/>
        <family val="2"/>
      </rPr>
      <t>.mp4</t>
    </r>
  </si>
  <si>
    <r>
      <rPr>
        <sz val="11"/>
        <color rgb="FFC00000"/>
        <rFont val="DFKai-SB"/>
        <family val="4"/>
        <charset val="136"/>
      </rPr>
      <t>部分驗證</t>
    </r>
  </si>
  <si>
    <r>
      <rPr>
        <sz val="11"/>
        <color rgb="FFC00000"/>
        <rFont val="Calibri"/>
        <family val="2"/>
      </rPr>
      <t xml:space="preserve">SharePoint/Stream </t>
    </r>
    <r>
      <rPr>
        <sz val="11"/>
        <color rgb="FFC00000"/>
        <rFont val="DFKai-SB"/>
        <family val="4"/>
        <charset val="136"/>
      </rPr>
      <t>外部工具無法開啟；連結路徑顯示為</t>
    </r>
    <r>
      <rPr>
        <sz val="11"/>
        <color rgb="FFC00000"/>
        <rFont val="Calibri"/>
        <family val="2"/>
      </rPr>
      <t xml:space="preserve"> mp4 </t>
    </r>
    <r>
      <rPr>
        <sz val="11"/>
        <color rgb="FFC00000"/>
        <rFont val="DFKai-SB"/>
        <family val="4"/>
        <charset val="136"/>
      </rPr>
      <t>且檔名與題目一致</t>
    </r>
  </si>
  <si>
    <t>看不見的溫柔</t>
  </si>
  <si>
    <t>https://youtu.be/vxwydagOBjc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</si>
  <si>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</si>
  <si>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看不見的溫柔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</si>
  <si>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</si>
  <si>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</si>
  <si>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深夜的綠色光幕</t>
  </si>
  <si>
    <t>https://youtu.be/9vxJryhNMx8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</si>
  <si>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</si>
  <si>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深夜的綠色光幕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</si>
  <si>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</si>
  <si>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</si>
  <si>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奶龍的防吃詐騙</t>
  </si>
  <si>
    <t>https://youtu.be/Joq-VwrYPec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</si>
  <si>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</si>
  <si>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奶龍的防吃詐騙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</si>
  <si>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</si>
  <si>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</si>
  <si>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虛擬地下城</t>
  </si>
  <si>
    <t>https://youtu.be/WIY5zhWDnFw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</si>
  <si>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</si>
  <si>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虛擬地下城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</si>
  <si>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</si>
  <si>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</si>
  <si>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消失的班費：螢幕後的陷阱</t>
  </si>
  <si>
    <t>https://youtu.be/DgjYASVlzks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</si>
  <si>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</si>
  <si>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《消失的班費：螢幕後的陷阱》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</si>
  <si>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</si>
  <si>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DFKai-SB"/>
        <family val="4"/>
        <charset val="136"/>
      </rPr>
      <t>僅多書名號；主標題一致</t>
    </r>
  </si>
  <si>
    <t>50 元的神裝</t>
  </si>
  <si>
    <t>https://youtu.be/BLo_Drt-iUk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</si>
  <si>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</si>
  <si>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Calibri"/>
        <family val="2"/>
      </rPr>
      <t>50</t>
    </r>
    <r>
      <rPr>
        <sz val="11"/>
        <color theme="1"/>
        <rFont val="DFKai-SB"/>
        <family val="4"/>
        <charset val="136"/>
      </rPr>
      <t>元的神裝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</si>
  <si>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</si>
  <si>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DFKai-SB"/>
        <family val="4"/>
        <charset val="136"/>
      </rPr>
      <t>空格略不同；主標題一致</t>
    </r>
  </si>
  <si>
    <t>免費送傳說造型</t>
  </si>
  <si>
    <t>https://youtu.be/m-1RnYXiw1k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</si>
  <si>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</si>
  <si>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免費送傳說造型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</si>
  <si>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</si>
  <si>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</si>
  <si>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浪漫的邂逅</t>
  </si>
  <si>
    <t>https://youtu.be/cRhN-EyWW7w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</si>
  <si>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</si>
  <si>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浪漫的邂逅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</si>
  <si>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</si>
  <si>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</si>
  <si>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不要點進去!假的韓國女團網站</t>
  </si>
  <si>
    <t>https://youtu.be/MEjKQXdgsBQ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</si>
  <si>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</si>
  <si>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不要點進去，假的女團網站</t>
    </r>
  </si>
  <si>
    <r>
      <rPr>
        <sz val="11"/>
        <color rgb="FFC00000"/>
        <rFont val="DFKai-SB"/>
        <family val="4"/>
        <charset val="136"/>
      </rPr>
      <t>部分符合</t>
    </r>
  </si>
  <si>
    <r>
      <rPr>
        <sz val="11"/>
        <color rgb="FFC00000"/>
        <rFont val="DFKai-SB"/>
        <family val="4"/>
        <charset val="136"/>
      </rPr>
      <t>題目含「韓國女團」，</t>
    </r>
    <r>
      <rPr>
        <sz val="11"/>
        <color rgb="FFC00000"/>
        <rFont val="Calibri"/>
        <family val="2"/>
      </rPr>
      <t xml:space="preserve">YouTube </t>
    </r>
    <r>
      <rPr>
        <sz val="11"/>
        <color rgb="FFC00000"/>
        <rFont val="DFKai-SB"/>
        <family val="4"/>
        <charset val="136"/>
      </rPr>
      <t>標題為「女團網站」；內容方向相符但標題非完全一致</t>
    </r>
  </si>
  <si>
    <t>電話裡的假媽媽</t>
  </si>
  <si>
    <t>https://youtu.be/XKDwSTim9dQ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</si>
  <si>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</si>
  <si>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電話裡的假媽媽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</si>
  <si>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</si>
  <si>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</si>
  <si>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消失的棒球比賽</t>
  </si>
  <si>
    <t>https://youtu.be/04iwrYrRStE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</si>
  <si>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</si>
  <si>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消失的棒球比賽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</si>
  <si>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</si>
  <si>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Calibri"/>
        <family val="2"/>
      </rPr>
      <t xml:space="preserve">YouTube </t>
    </r>
    <r>
      <rPr>
        <sz val="11"/>
        <color theme="1"/>
        <rFont val="DFKai-SB"/>
        <family val="4"/>
        <charset val="136"/>
      </rPr>
      <t>頁面標題與題目一致</t>
    </r>
  </si>
  <si>
    <t>消失的帳號:包子超人的免費貼圖風波</t>
  </si>
  <si>
    <t>https://youtu.be/dNdFsvgb49U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</si>
  <si>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</si>
  <si>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包子超人的消失帳號</t>
    </r>
  </si>
  <si>
    <r>
      <rPr>
        <sz val="11"/>
        <color rgb="FFC00000"/>
        <rFont val="DFKai-SB"/>
        <family val="4"/>
        <charset val="136"/>
      </rPr>
      <t>部分符合</t>
    </r>
  </si>
  <si>
    <r>
      <rPr>
        <sz val="11"/>
        <color rgb="FFC00000"/>
        <rFont val="DFKai-SB"/>
        <family val="4"/>
        <charset val="136"/>
      </rPr>
      <t>題目為「消失的帳號</t>
    </r>
    <r>
      <rPr>
        <sz val="11"/>
        <color rgb="FFC00000"/>
        <rFont val="Calibri"/>
        <family val="2"/>
      </rPr>
      <t>:</t>
    </r>
    <r>
      <rPr>
        <sz val="11"/>
        <color rgb="FFC00000"/>
        <rFont val="DFKai-SB"/>
        <family val="4"/>
        <charset val="136"/>
      </rPr>
      <t>包子超人的免費貼圖風波」；</t>
    </r>
    <r>
      <rPr>
        <sz val="11"/>
        <color rgb="FFC00000"/>
        <rFont val="Calibri"/>
        <family val="2"/>
      </rPr>
      <t xml:space="preserve">YouTube </t>
    </r>
    <r>
      <rPr>
        <sz val="11"/>
        <color rgb="FFC00000"/>
        <rFont val="DFKai-SB"/>
        <family val="4"/>
        <charset val="136"/>
      </rPr>
      <t>標題較短但核心主題一致</t>
    </r>
  </si>
  <si>
    <t>螢幕後的幻影:小雨的粉色與深藍</t>
  </si>
  <si>
    <t>https://youtu.be/6PJfBkGivzM</t>
  </si>
  <si>
    <r>
      <rPr>
        <sz val="11"/>
        <color rgb="FF008000"/>
        <rFont val="DFKai-SB"/>
        <family val="4"/>
        <charset val="136"/>
      </rPr>
      <t>可開啟</t>
    </r>
  </si>
  <si>
    <r>
      <rPr>
        <sz val="11"/>
        <color theme="1"/>
        <rFont val="DFKai-SB"/>
        <family val="4"/>
        <charset val="136"/>
      </rPr>
      <t>螢幕後的幻影：小雨的粉色與深藍</t>
    </r>
  </si>
  <si>
    <r>
      <rPr>
        <sz val="11"/>
        <color rgb="FF008000"/>
        <rFont val="DFKai-SB"/>
        <family val="4"/>
        <charset val="136"/>
      </rPr>
      <t>符合</t>
    </r>
  </si>
  <si>
    <r>
      <rPr>
        <sz val="11"/>
        <color theme="1"/>
        <rFont val="DFKai-SB"/>
        <family val="4"/>
        <charset val="136"/>
      </rPr>
      <t>冒號全形差異；主標題一致</t>
    </r>
  </si>
  <si>
    <t>權重</t>
  </si>
  <si>
    <t>說明</t>
  </si>
  <si>
    <t>AI 倫理與工具運用</t>
  </si>
  <si>
    <t>工具操作之合理性，是否主動避免偏見或不當內容生成。</t>
  </si>
  <si>
    <t>媒體素養與查證邏輯</t>
  </si>
  <si>
    <t>查證步驟之嚴謹度，以及對資訊來源判讀的精確性。</t>
  </si>
  <si>
    <t>敘事創意與視覺表現</t>
  </si>
  <si>
    <t>故事情節的創新度、視覺呈現的吸引力與藝術性。</t>
  </si>
  <si>
    <t>宣導價值與實用性</t>
  </si>
  <si>
    <t>作品是否淺顯易懂，具備教育推廣與社會傳播之潛力。</t>
  </si>
  <si>
    <t>作品結構完整性與格式符合度。</t>
  </si>
  <si>
    <t>優勝獎勵：</t>
  </si>
  <si>
    <t>分為「高中組」與「國中組」兩大組別，獎項如下：</t>
  </si>
  <si>
    <t>特優：每組 1 件。獎狀一張，頒發獎金 3,000 元或等值禮券。</t>
  </si>
  <si>
    <t>優等：每組 2 件。獎狀一張，頒發獎金 2,000 元或等值禮券。</t>
  </si>
  <si>
    <t>佳作：每組 5 件。獎狀一張，頒發獎金 1,000 元或等值禮券。</t>
  </si>
  <si>
    <t>特優及優等組別指導老師：每件頒發 1,000 元獎金或等值禮券及獎狀。</t>
  </si>
  <si>
    <t>佳作組別指導老師：頒發獎狀</t>
  </si>
  <si>
    <t>作品說明書連結</t>
    <phoneticPr fontId="21" type="noConversion"/>
  </si>
  <si>
    <t>https://docs.google.com/document/d/15x37ja1Bjr7fGljZNgu8PYeq2irVyQR7/edit?usp=drive_link&amp;ouid=111230326840711947319&amp;rtpof=true&amp;sd=true</t>
    <phoneticPr fontId="21" type="noConversion"/>
  </si>
  <si>
    <t>https://docs.google.com/document/d/1owLutObKlqfI1A0QWi5IJE5TUIv7oQE0/edit?usp=drive_link&amp;ouid=111230326840711947319&amp;rtpof=true&amp;sd=true</t>
  </si>
  <si>
    <t>https://docs.google.com/document/d/1t4JMB6DEMjV5kdw6phNOn7c7mVlWNeSw/edit?usp=drive_link&amp;ouid=111230326840711947319&amp;rtpof=true&amp;sd=true</t>
  </si>
  <si>
    <t>https://docs.google.com/document/d/14jJYtLC_4mUviNK3QxgGtBhi0e4a6r75/edit?usp=drive_link&amp;ouid=111230326840711947319&amp;rtpof=true&amp;sd=true</t>
  </si>
  <si>
    <t>https://docs.google.com/document/d/1adaZRAnXPCXRZix7oPeJrXbuNBo9PTCo/edit?usp=drive_link&amp;ouid=111230326840711947319&amp;rtpof=true&amp;sd=true</t>
  </si>
  <si>
    <t>https://docs.google.com/document/d/1csNJLKUfEXyCHUvoW7UDRXnviuPXwoPQ/edit?usp=drive_link&amp;ouid=111230326840711947319&amp;rtpof=true&amp;sd=true</t>
  </si>
  <si>
    <t>https://docs.google.com/document/d/1kXHHQx07Z0H7-jvZ33h7-uRHU192fh7t/edit?usp=drive_link&amp;ouid=111230326840711947319&amp;rtpof=true&amp;sd=true</t>
  </si>
  <si>
    <t>https://docs.google.com/document/d/1RYlOPl7WXV8JP2eAR1N-DqUMW4HCAgLj/edit?usp=drive_link&amp;ouid=111230326840711947319&amp;rtpof=true&amp;sd=true</t>
  </si>
  <si>
    <t>https://drive.google.com/file/d/1QB1i5k18ycyvH0Zg3fW9IKSTaBwBtm3k/view?usp=drive_link</t>
  </si>
  <si>
    <t>https://docs.google.com/document/d/13Dv5ejOnOgn8WvRBxRrp4K1_iHRmpbzi/edit?usp=drive_link&amp;ouid=111230326840711947319&amp;rtpof=true&amp;sd=true</t>
  </si>
  <si>
    <t>https://docs.google.com/document/d/1hYjiKIwtRpdRXXOYmhaJHQTRx63t864j/edit?usp=drive_link&amp;ouid=111230326840711947319&amp;rtpof=true&amp;sd=true</t>
  </si>
  <si>
    <t>https://docs.google.com/document/d/1ut9TqCWg0u8qu-dIRnSBUnAVCiXbZ3WU/edit?usp=drive_link&amp;ouid=111230326840711947319&amp;rtpof=true&amp;sd=true</t>
  </si>
  <si>
    <t>https://docs.google.com/document/d/1rHLd5Vb8CI4difKH472fIBcJKvAh_c4B/edit?usp=drive_link&amp;ouid=111230326840711947319&amp;rtpof=true&amp;sd=true</t>
  </si>
  <si>
    <t>https://docs.google.com/document/d/1cmkw61wbMnVWp0jJd-4QPEiVzPJ40Dov/edit?usp=drive_link&amp;ouid=111230326840711947319&amp;rtpof=true&amp;sd=true</t>
  </si>
  <si>
    <t>https://docs.google.com/document/d/1Cau4-rs_4JWeOfuqsAKxaeqNqSFGmz8u/edit?usp=drive_link&amp;ouid=111230326840711947319&amp;rtpof=true&amp;sd=true</t>
  </si>
  <si>
    <t>https://docs.google.com/document/d/1H2yZhenr7Rx0_pDpIkeSIOoXgn4E8CbX/edit?usp=drive_link&amp;ouid=111230326840711947319&amp;rtpof=true&amp;sd=true</t>
  </si>
  <si>
    <t>https://docs.google.com/document/d/120NqAU0Z_qW7-OmFauuHC3idD2yIXcQt/edit?usp=drive_link&amp;ouid=111230326840711947319&amp;rtpof=true&amp;sd=true</t>
  </si>
  <si>
    <t>https://docs.google.com/document/d/177N-0B_fAtBfuOkU1VFH9cZYcwMLdJ6s/edit?usp=drive_link&amp;ouid=111230326840711947319&amp;rtpof=true&amp;sd=true</t>
  </si>
  <si>
    <t>https://docs.google.com/document/d/1FcLzCKQLT-rQUNmsgffl4FLhZDvkzDBl/edit?usp=drive_link&amp;ouid=111230326840711947319&amp;rtpof=true&amp;sd=true</t>
  </si>
  <si>
    <t>https://docs.google.com/document/d/1N1YscPL_5U7HJB2DAwD5OxPDl-8pi2eG/edit?usp=drive_link&amp;ouid=111230326840711947319&amp;rtpof=true&amp;sd=true</t>
  </si>
  <si>
    <t>https://docs.google.com/document/d/1XWOhkreXa4m1nXswJAKa9HjsiN1lKXde/edit?usp=drive_link&amp;ouid=111230326840711947319&amp;rtpof=true&amp;sd=true</t>
  </si>
  <si>
    <t>https://docs.google.com/document/d/1EhCyKW-bVbmRuTOp9hT7qPiLZXnHMOAz/edit?usp=drive_link&amp;ouid=111230326840711947319&amp;rtpof=true&amp;sd=true</t>
  </si>
  <si>
    <t>AI 倫理與工具運用</t>
    <phoneticPr fontId="21" type="noConversion"/>
  </si>
  <si>
    <t>媒體素養與查證邏輯</t>
    <phoneticPr fontId="21" type="noConversion"/>
  </si>
  <si>
    <t>敘事創意與視覺表現</t>
    <phoneticPr fontId="21" type="noConversion"/>
  </si>
  <si>
    <t>宣導價值與實用性</t>
    <phoneticPr fontId="21" type="noConversion"/>
  </si>
  <si>
    <t>https://youtu.be/CEZyj5Wbk7U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</si>
</sst>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b/>
      <sz val="20"/>
      <color theme="1"/>
      <name val="DFKai-SB"/>
      <family val="4"/>
      <charset val="136"/>
    </font>
    <font>
      <sz val="10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b/>
      <sz val="14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0"/>
      <name val="Arial"/>
      <family val="2"/>
    </font>
    <font>
      <sz val="13"/>
      <color theme="1"/>
      <name val="DFKai-SB"/>
      <family val="4"/>
      <charset val="136"/>
    </font>
    <font>
      <b/>
      <sz val="11"/>
      <color rgb="FFFFFFFF"/>
      <name val="Calibri"/>
      <family val="2"/>
    </font>
    <font>
      <u/>
      <sz val="12"/>
      <color rgb="FF1155CC"/>
      <name val="DFKai-SB"/>
      <family val="4"/>
      <charset val="136"/>
    </font>
    <font>
      <u/>
      <sz val="10"/>
      <color theme="10"/>
      <name val="Arial"/>
      <family val="2"/>
    </font>
    <font>
      <sz val="11"/>
      <color rgb="FF008000"/>
      <name val="Calibri"/>
      <family val="2"/>
    </font>
    <font>
      <sz val="11"/>
      <color theme="1"/>
      <name val="Calibri"/>
      <family val="2"/>
    </font>
    <font>
      <u/>
      <sz val="12"/>
      <color rgb="FF1155CC"/>
      <name val="DFKai-SB"/>
      <family val="4"/>
      <charset val="136"/>
    </font>
    <font>
      <sz val="11"/>
      <color rgb="FFC00000"/>
      <name val="Calibri"/>
      <family val="2"/>
    </font>
    <font>
      <sz val="12"/>
      <color rgb="FF000000"/>
      <name val="DFKai-SB"/>
      <family val="4"/>
      <charset val="136"/>
    </font>
    <font>
      <b/>
      <sz val="11"/>
      <color rgb="FFFFFFFF"/>
      <name val="DFKai-SB"/>
      <family val="4"/>
      <charset val="136"/>
    </font>
    <font>
      <sz val="11"/>
      <color rgb="FF008000"/>
      <name val="DFKai-SB"/>
      <family val="4"/>
      <charset val="136"/>
    </font>
    <font>
      <sz val="11"/>
      <color theme="1"/>
      <name val="DFKai-SB"/>
      <family val="4"/>
      <charset val="136"/>
    </font>
    <font>
      <sz val="11"/>
      <color rgb="FFC00000"/>
      <name val="DFKai-SB"/>
      <family val="4"/>
      <charset val="136"/>
    </font>
    <font>
      <u/>
      <sz val="10"/>
      <color theme="10"/>
      <name val="Arial"/>
      <family val="2"/>
      <scheme val="minor"/>
    </font>
    <font>
      <sz val="9"/>
      <name val="Arial"/>
      <family val="3"/>
      <charset val="136"/>
      <scheme val="minor"/>
    </font>
    <font>
      <u/>
      <sz val="10"/>
      <color rgb="FF0563C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1D2330"/>
        <bgColor rgb="FF1D2330"/>
      </patternFill>
    </fill>
    <fill>
      <patternFill patternType="solid">
        <fgColor rgb="FFFFCEB9"/>
        <bgColor rgb="FFFFCEB9"/>
      </patternFill>
    </fill>
    <fill>
      <patternFill patternType="solid">
        <fgColor rgb="FFB6D7A8"/>
        <bgColor rgb="FFB6D7A8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9" fontId="5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9" fillId="0" borderId="3" xfId="0" applyFont="1" applyBorder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0" xfId="0" applyFont="1"/>
    <xf numFmtId="0" fontId="5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wrapText="1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5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5" fillId="0" borderId="3" xfId="0" applyFont="1" applyBorder="1" applyAlignment="1">
      <alignment vertical="center"/>
    </xf>
    <xf numFmtId="9" fontId="15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5" fillId="5" borderId="3" xfId="0" applyFont="1" applyFill="1" applyBorder="1"/>
    <xf numFmtId="0" fontId="15" fillId="0" borderId="3" xfId="0" applyFont="1" applyBorder="1"/>
    <xf numFmtId="0" fontId="5" fillId="2" borderId="10" xfId="0" applyFont="1" applyFill="1" applyBorder="1" applyAlignment="1">
      <alignment horizontal="center" vertical="center"/>
    </xf>
    <xf numFmtId="0" fontId="6" fillId="0" borderId="10" xfId="0" applyFont="1" applyBorder="1"/>
    <xf numFmtId="0" fontId="20" fillId="0" borderId="0" xfId="1"/>
    <xf numFmtId="0" fontId="22" fillId="0" borderId="0" xfId="1" applyFont="1"/>
    <xf numFmtId="0" fontId="7" fillId="0" borderId="6" xfId="0" applyFont="1" applyBorder="1" applyAlignment="1">
      <alignment vertical="center" wrapText="1"/>
    </xf>
    <xf numFmtId="0" fontId="6" fillId="0" borderId="7" xfId="0" applyFont="1" applyBorder="1"/>
    <xf numFmtId="0" fontId="6" fillId="0" borderId="8" xfId="0" applyFont="1" applyBorder="1"/>
    <xf numFmtId="0" fontId="5" fillId="0" borderId="1" xfId="0" applyFont="1" applyBorder="1" applyAlignment="1">
      <alignment horizontal="center" vertical="center"/>
    </xf>
    <xf numFmtId="0" fontId="6" fillId="0" borderId="9" xfId="0" applyFont="1" applyBorder="1"/>
    <xf numFmtId="0" fontId="6" fillId="0" borderId="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Border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9E501C-69A0-48A1-8F9C-F48AA213E577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WIY5zhWDnFw" TargetMode="External"/><Relationship Id="rId21" Type="http://schemas.openxmlformats.org/officeDocument/2006/relationships/hyperlink" Target="https://docs.google.com/document/d/1hYjiKIwtRpdRXXOYmhaJHQTRx63t864j/edit?usp=drive_link&amp;ouid=111230326840711947319&amp;rtpof=true&amp;sd=true" TargetMode="External"/><Relationship Id="rId34" Type="http://schemas.openxmlformats.org/officeDocument/2006/relationships/hyperlink" Target="https://youtu.be/cRhN-EyWW7w" TargetMode="External"/><Relationship Id="rId42" Type="http://schemas.openxmlformats.org/officeDocument/2006/relationships/hyperlink" Target="https://youtu.be/dNdFsvgb49U" TargetMode="External"/><Relationship Id="rId47" Type="http://schemas.openxmlformats.org/officeDocument/2006/relationships/hyperlink" Target="https://docs.google.com/document/d/1t4JMB6DEMjV5kdw6phNOn7c7mVlWNeSw/edit?usp=drive_link&amp;ouid=111230326840711947319&amp;rtpof=true&amp;sd=true" TargetMode="External"/><Relationship Id="rId50" Type="http://schemas.openxmlformats.org/officeDocument/2006/relationships/hyperlink" Target="https://docs.google.com/document/d/1csNJLKUfEXyCHUvoW7UDRXnviuPXwoPQ/edit?usp=drive_link&amp;ouid=111230326840711947319&amp;rtpof=true&amp;sd=true" TargetMode="External"/><Relationship Id="rId55" Type="http://schemas.openxmlformats.org/officeDocument/2006/relationships/hyperlink" Target="https://docs.google.com/document/d/1hYjiKIwtRpdRXXOYmhaJHQTRx63t864j/edit?usp=drive_link&amp;ouid=111230326840711947319&amp;rtpof=true&amp;sd=true" TargetMode="External"/><Relationship Id="rId63" Type="http://schemas.openxmlformats.org/officeDocument/2006/relationships/hyperlink" Target="https://docs.google.com/document/d/1FcLzCKQLT-rQUNmsgffl4FLhZDvkzDBl/edit?usp=drive_link&amp;ouid=111230326840711947319&amp;rtpof=true&amp;sd=true" TargetMode="External"/><Relationship Id="rId7" Type="http://schemas.openxmlformats.org/officeDocument/2006/relationships/hyperlink" Target="https://docs.google.com/document/d/14jJYtLC_4mUviNK3QxgGtBhi0e4a6r75/edit?usp=drive_link&amp;ouid=111230326840711947319&amp;rtpof=true&amp;sd=true" TargetMode="External"/><Relationship Id="rId2" Type="http://schemas.openxmlformats.org/officeDocument/2006/relationships/hyperlink" Target="https://youtu.be/gzY8O0c6i70" TargetMode="External"/><Relationship Id="rId16" Type="http://schemas.openxmlformats.org/officeDocument/2006/relationships/hyperlink" Target="https://youtu.be/L31Chv-UEDk" TargetMode="External"/><Relationship Id="rId29" Type="http://schemas.openxmlformats.org/officeDocument/2006/relationships/hyperlink" Target="https://docs.google.com/document/d/1Cau4-rs_4JWeOfuqsAKxaeqNqSFGmz8u/edit?usp=drive_link&amp;ouid=111230326840711947319&amp;rtpof=true&amp;sd=true" TargetMode="External"/><Relationship Id="rId11" Type="http://schemas.openxmlformats.org/officeDocument/2006/relationships/hyperlink" Target="https://docs.google.com/document/d/1csNJLKUfEXyCHUvoW7UDRXnviuPXwoPQ/edit?usp=drive_link&amp;ouid=111230326840711947319&amp;rtpof=true&amp;sd=true" TargetMode="External"/><Relationship Id="rId24" Type="http://schemas.openxmlformats.org/officeDocument/2006/relationships/hyperlink" Target="https://youtu.be/Joq-VwrYPec" TargetMode="External"/><Relationship Id="rId32" Type="http://schemas.openxmlformats.org/officeDocument/2006/relationships/hyperlink" Target="https://youtu.be/m-1RnYXiw1k" TargetMode="External"/><Relationship Id="rId37" Type="http://schemas.openxmlformats.org/officeDocument/2006/relationships/hyperlink" Target="https://docs.google.com/document/d/1FcLzCKQLT-rQUNmsgffl4FLhZDvkzDBl/edit?usp=drive_link&amp;ouid=111230326840711947319&amp;rtpof=true&amp;sd=true" TargetMode="External"/><Relationship Id="rId40" Type="http://schemas.openxmlformats.org/officeDocument/2006/relationships/hyperlink" Target="https://youtu.be/04iwrYrRStE" TargetMode="External"/><Relationship Id="rId45" Type="http://schemas.openxmlformats.org/officeDocument/2006/relationships/hyperlink" Target="https://docs.google.com/document/d/15x37ja1Bjr7fGljZNgu8PYeq2irVyQR7/edit?usp=drive_link&amp;ouid=111230326840711947319&amp;rtpof=true&amp;sd=true" TargetMode="External"/><Relationship Id="rId53" Type="http://schemas.openxmlformats.org/officeDocument/2006/relationships/hyperlink" Target="https://drive.google.com/file/d/1QB1i5k18ycyvH0Zg3fW9IKSTaBwBtm3k/view?usp=drive_link" TargetMode="External"/><Relationship Id="rId58" Type="http://schemas.openxmlformats.org/officeDocument/2006/relationships/hyperlink" Target="https://docs.google.com/document/d/1cmkw61wbMnVWp0jJd-4QPEiVzPJ40Dov/edit?usp=drive_link&amp;ouid=111230326840711947319&amp;rtpof=true&amp;sd=true" TargetMode="External"/><Relationship Id="rId66" Type="http://schemas.openxmlformats.org/officeDocument/2006/relationships/hyperlink" Target="https://docs.google.com/document/d/1EhCyKW-bVbmRuTOp9hT7qPiLZXnHMOAz/edit?usp=drive_link&amp;ouid=111230326840711947319&amp;rtpof=true&amp;sd=true" TargetMode="External"/><Relationship Id="rId5" Type="http://schemas.openxmlformats.org/officeDocument/2006/relationships/hyperlink" Target="https://docs.google.com/document/d/1t4JMB6DEMjV5kdw6phNOn7c7mVlWNeSw/edit?usp=drive_link&amp;ouid=111230326840711947319&amp;rtpof=true&amp;sd=true" TargetMode="External"/><Relationship Id="rId61" Type="http://schemas.openxmlformats.org/officeDocument/2006/relationships/hyperlink" Target="https://docs.google.com/document/d/120NqAU0Z_qW7-OmFauuHC3idD2yIXcQt/edit?usp=drive_link&amp;ouid=111230326840711947319&amp;rtpof=true&amp;sd=true" TargetMode="External"/><Relationship Id="rId19" Type="http://schemas.openxmlformats.org/officeDocument/2006/relationships/hyperlink" Target="https://docs.google.com/document/d/13Dv5ejOnOgn8WvRBxRrp4K1_iHRmpbzi/edit?usp=drive_link&amp;ouid=111230326840711947319&amp;rtpof=true&amp;sd=true" TargetMode="External"/><Relationship Id="rId14" Type="http://schemas.openxmlformats.org/officeDocument/2006/relationships/hyperlink" Target="https://youtu.be/0IexbOBFXiU" TargetMode="External"/><Relationship Id="rId22" Type="http://schemas.openxmlformats.org/officeDocument/2006/relationships/hyperlink" Target="https://youtu.be/9vxJryhNMx8" TargetMode="External"/><Relationship Id="rId27" Type="http://schemas.openxmlformats.org/officeDocument/2006/relationships/hyperlink" Target="https://docs.google.com/document/d/1cmkw61wbMnVWp0jJd-4QPEiVzPJ40Dov/edit?usp=drive_link&amp;ouid=111230326840711947319&amp;rtpof=true&amp;sd=true" TargetMode="External"/><Relationship Id="rId30" Type="http://schemas.openxmlformats.org/officeDocument/2006/relationships/hyperlink" Target="https://youtu.be/BLo_Drt-iUk" TargetMode="External"/><Relationship Id="rId35" Type="http://schemas.openxmlformats.org/officeDocument/2006/relationships/hyperlink" Target="https://docs.google.com/document/d/177N-0B_fAtBfuOkU1VFH9cZYcwMLdJ6s/edit?usp=drive_link&amp;ouid=111230326840711947319&amp;rtpof=true&amp;sd=true" TargetMode="External"/><Relationship Id="rId43" Type="http://schemas.openxmlformats.org/officeDocument/2006/relationships/hyperlink" Target="https://docs.google.com/document/d/1EhCyKW-bVbmRuTOp9hT7qPiLZXnHMOAz/edit?usp=drive_link&amp;ouid=111230326840711947319&amp;rtpof=true&amp;sd=true" TargetMode="External"/><Relationship Id="rId48" Type="http://schemas.openxmlformats.org/officeDocument/2006/relationships/hyperlink" Target="https://docs.google.com/document/d/14jJYtLC_4mUviNK3QxgGtBhi0e4a6r75/edit?usp=drive_link&amp;ouid=111230326840711947319&amp;rtpof=true&amp;sd=true" TargetMode="External"/><Relationship Id="rId56" Type="http://schemas.openxmlformats.org/officeDocument/2006/relationships/hyperlink" Target="https://docs.google.com/document/d/1ut9TqCWg0u8qu-dIRnSBUnAVCiXbZ3WU/edit?usp=drive_link&amp;ouid=111230326840711947319&amp;rtpof=true&amp;sd=true" TargetMode="External"/><Relationship Id="rId64" Type="http://schemas.openxmlformats.org/officeDocument/2006/relationships/hyperlink" Target="https://docs.google.com/document/d/1N1YscPL_5U7HJB2DAwD5OxPDl-8pi2eG/edit?usp=drive_link&amp;ouid=111230326840711947319&amp;rtpof=true&amp;sd=true" TargetMode="External"/><Relationship Id="rId8" Type="http://schemas.openxmlformats.org/officeDocument/2006/relationships/hyperlink" Target="https://youtu.be/h6j-Hg2SCgE" TargetMode="External"/><Relationship Id="rId51" Type="http://schemas.openxmlformats.org/officeDocument/2006/relationships/hyperlink" Target="https://docs.google.com/document/d/1kXHHQx07Z0H7-jvZ33h7-uRHU192fh7t/edit?usp=drive_link&amp;ouid=111230326840711947319&amp;rtpof=true&amp;sd=true" TargetMode="External"/><Relationship Id="rId3" Type="http://schemas.openxmlformats.org/officeDocument/2006/relationships/hyperlink" Target="https://docs.google.com/document/d/1owLutObKlqfI1A0QWi5IJE5TUIv7oQE0/edit?usp=drive_link&amp;ouid=111230326840711947319&amp;rtpof=true&amp;sd=true" TargetMode="External"/><Relationship Id="rId12" Type="http://schemas.openxmlformats.org/officeDocument/2006/relationships/hyperlink" Target="https://youtu.be/YE2WobswH00" TargetMode="External"/><Relationship Id="rId17" Type="http://schemas.openxmlformats.org/officeDocument/2006/relationships/hyperlink" Target="https://drive.google.com/file/d/1QB1i5k18ycyvH0Zg3fW9IKSTaBwBtm3k/view?usp=drive_link" TargetMode="External"/><Relationship Id="rId25" Type="http://schemas.openxmlformats.org/officeDocument/2006/relationships/hyperlink" Target="https://docs.google.com/document/d/1rHLd5Vb8CI4difKH472fIBcJKvAh_c4B/edit?usp=drive_link&amp;ouid=111230326840711947319&amp;rtpof=true&amp;sd=true" TargetMode="External"/><Relationship Id="rId33" Type="http://schemas.openxmlformats.org/officeDocument/2006/relationships/hyperlink" Target="https://docs.google.com/document/d/120NqAU0Z_qW7-OmFauuHC3idD2yIXcQt/edit?usp=drive_link&amp;ouid=111230326840711947319&amp;rtpof=true&amp;sd=true" TargetMode="External"/><Relationship Id="rId38" Type="http://schemas.openxmlformats.org/officeDocument/2006/relationships/hyperlink" Target="https://youtu.be/XKDwSTim9dQ" TargetMode="External"/><Relationship Id="rId46" Type="http://schemas.openxmlformats.org/officeDocument/2006/relationships/hyperlink" Target="https://docs.google.com/document/d/1owLutObKlqfI1A0QWi5IJE5TUIv7oQE0/edit?usp=drive_link&amp;ouid=111230326840711947319&amp;rtpof=true&amp;sd=true" TargetMode="External"/><Relationship Id="rId59" Type="http://schemas.openxmlformats.org/officeDocument/2006/relationships/hyperlink" Target="https://docs.google.com/document/d/1Cau4-rs_4JWeOfuqsAKxaeqNqSFGmz8u/edit?usp=drive_link&amp;ouid=111230326840711947319&amp;rtpof=true&amp;sd=true" TargetMode="External"/><Relationship Id="rId20" Type="http://schemas.openxmlformats.org/officeDocument/2006/relationships/hyperlink" Target="https://youtu.be/vxwydagOBjc" TargetMode="External"/><Relationship Id="rId41" Type="http://schemas.openxmlformats.org/officeDocument/2006/relationships/hyperlink" Target="https://docs.google.com/document/d/1XWOhkreXa4m1nXswJAKa9HjsiN1lKXde/edit?usp=drive_link&amp;ouid=111230326840711947319&amp;rtpof=true&amp;sd=true" TargetMode="External"/><Relationship Id="rId54" Type="http://schemas.openxmlformats.org/officeDocument/2006/relationships/hyperlink" Target="https://docs.google.com/document/d/13Dv5ejOnOgn8WvRBxRrp4K1_iHRmpbzi/edit?usp=drive_link&amp;ouid=111230326840711947319&amp;rtpof=true&amp;sd=true" TargetMode="External"/><Relationship Id="rId62" Type="http://schemas.openxmlformats.org/officeDocument/2006/relationships/hyperlink" Target="https://docs.google.com/document/d/177N-0B_fAtBfuOkU1VFH9cZYcwMLdJ6s/edit?usp=drive_link&amp;ouid=111230326840711947319&amp;rtpof=true&amp;sd=true" TargetMode="External"/><Relationship Id="rId1" Type="http://schemas.openxmlformats.org/officeDocument/2006/relationships/hyperlink" Target="https://docs.google.com/document/d/15x37ja1Bjr7fGljZNgu8PYeq2irVyQR7/edit?usp=drive_link&amp;ouid=111230326840711947319&amp;rtpof=true&amp;sd=true" TargetMode="External"/><Relationship Id="rId6" Type="http://schemas.openxmlformats.org/officeDocument/2006/relationships/hyperlink" Target="https://youtu.be/vgLGEDcWidE" TargetMode="External"/><Relationship Id="rId15" Type="http://schemas.openxmlformats.org/officeDocument/2006/relationships/hyperlink" Target="https://docs.google.com/document/d/1RYlOPl7WXV8JP2eAR1N-DqUMW4HCAgLj/edit?usp=drive_link&amp;ouid=111230326840711947319&amp;rtpof=true&amp;sd=true" TargetMode="External"/><Relationship Id="rId23" Type="http://schemas.openxmlformats.org/officeDocument/2006/relationships/hyperlink" Target="https://docs.google.com/document/d/1ut9TqCWg0u8qu-dIRnSBUnAVCiXbZ3WU/edit?usp=drive_link&amp;ouid=111230326840711947319&amp;rtpof=true&amp;sd=true" TargetMode="External"/><Relationship Id="rId28" Type="http://schemas.openxmlformats.org/officeDocument/2006/relationships/hyperlink" Target="https://youtu.be/DgjYASVlzks" TargetMode="External"/><Relationship Id="rId36" Type="http://schemas.openxmlformats.org/officeDocument/2006/relationships/hyperlink" Target="https://youtu.be/MEjKQXdgsBQ" TargetMode="External"/><Relationship Id="rId49" Type="http://schemas.openxmlformats.org/officeDocument/2006/relationships/hyperlink" Target="https://docs.google.com/document/d/1adaZRAnXPCXRZix7oPeJrXbuNBo9PTCo/edit?usp=drive_link&amp;ouid=111230326840711947319&amp;rtpof=true&amp;sd=true" TargetMode="External"/><Relationship Id="rId57" Type="http://schemas.openxmlformats.org/officeDocument/2006/relationships/hyperlink" Target="https://docs.google.com/document/d/1rHLd5Vb8CI4difKH472fIBcJKvAh_c4B/edit?usp=drive_link&amp;ouid=111230326840711947319&amp;rtpof=true&amp;sd=true" TargetMode="External"/><Relationship Id="rId10" Type="http://schemas.openxmlformats.org/officeDocument/2006/relationships/hyperlink" Target="https://youtu.be/CEZyj5Wbk7U" TargetMode="External"/><Relationship Id="rId31" Type="http://schemas.openxmlformats.org/officeDocument/2006/relationships/hyperlink" Target="https://docs.google.com/document/d/1H2yZhenr7Rx0_pDpIkeSIOoXgn4E8CbX/edit?usp=drive_link&amp;ouid=111230326840711947319&amp;rtpof=true&amp;sd=true" TargetMode="External"/><Relationship Id="rId44" Type="http://schemas.openxmlformats.org/officeDocument/2006/relationships/hyperlink" Target="https://youtu.be/6PJfBkGivzM" TargetMode="External"/><Relationship Id="rId52" Type="http://schemas.openxmlformats.org/officeDocument/2006/relationships/hyperlink" Target="https://docs.google.com/document/d/1RYlOPl7WXV8JP2eAR1N-DqUMW4HCAgLj/edit?usp=drive_link&amp;ouid=111230326840711947319&amp;rtpof=true&amp;sd=true" TargetMode="External"/><Relationship Id="rId60" Type="http://schemas.openxmlformats.org/officeDocument/2006/relationships/hyperlink" Target="https://docs.google.com/document/d/1H2yZhenr7Rx0_pDpIkeSIOoXgn4E8CbX/edit?usp=drive_link&amp;ouid=111230326840711947319&amp;rtpof=true&amp;sd=true" TargetMode="External"/><Relationship Id="rId65" Type="http://schemas.openxmlformats.org/officeDocument/2006/relationships/hyperlink" Target="https://docs.google.com/document/d/1XWOhkreXa4m1nXswJAKa9HjsiN1lKXde/edit?usp=drive_link&amp;ouid=111230326840711947319&amp;rtpof=true&amp;sd=true" TargetMode="External"/><Relationship Id="rId4" Type="http://schemas.openxmlformats.org/officeDocument/2006/relationships/hyperlink" Target="https://youtu.be/KxoKh2r2E-Q" TargetMode="External"/><Relationship Id="rId9" Type="http://schemas.openxmlformats.org/officeDocument/2006/relationships/hyperlink" Target="https://docs.google.com/document/d/1adaZRAnXPCXRZix7oPeJrXbuNBo9PTCo/edit?usp=drive_link&amp;ouid=111230326840711947319&amp;rtpof=true&amp;sd=true" TargetMode="External"/><Relationship Id="rId13" Type="http://schemas.openxmlformats.org/officeDocument/2006/relationships/hyperlink" Target="https://docs.google.com/document/d/1kXHHQx07Z0H7-jvZ33h7-uRHU192fh7t/edit?usp=drive_link&amp;ouid=111230326840711947319&amp;rtpof=true&amp;sd=true" TargetMode="External"/><Relationship Id="rId18" Type="http://schemas.openxmlformats.org/officeDocument/2006/relationships/hyperlink" Target="https://o365kh-my.sharepoint.com/personal/justbeingfun_o365_kh_edu_tw/_layouts/15/stream.aspx?id=%2Fpersonal%2Fjustbeingfun%5Fo365%5Fkh%5Fedu%5Ftw%2FDocuments%2F20%5F%E5%88%86%E4%BA%AB%E5%8D%80%2F114%20AI%20%E7%B9%AA%E6%9C%AC%2F%E7%AC%AC1%E7%B5%84%EF%BC%88%E6%9F%8F%E9%9C%96%E3%80%81%E5%AE%A5%E7%91%8B%E3%80%81%E5%93%81%E5%AE%8F%EF%BC%89%2F4%2E%20%E4%BD%9C%E5%93%81%E7%B9%AA%E6%9C%AC%E5%BD%B1%E7%89%87%EF%BC%88%E7%9B%B4%E6%8E%A5%E4%B8%9F%E9%80%B2%E4%BE%86%EF%BC%89%2F%E5%A4%A7%E6%A9%98%E7%9A%84%E8%99%9B%E5%AF%B6%E4%BF%9D%E8%A1%9B%E6%88%B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%2E002c8e37%2D495f%2D4499%2D849e%2De0c67c808ba7" TargetMode="External"/><Relationship Id="rId39" Type="http://schemas.openxmlformats.org/officeDocument/2006/relationships/hyperlink" Target="https://docs.google.com/document/d/1N1YscPL_5U7HJB2DAwD5OxPDl-8pi2eG/edit?usp=drive_link&amp;ouid=111230326840711947319&amp;rtpof=true&amp;sd=true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kXHHQx07Z0H7-jvZ33h7-uRHU192fh7t/edit?usp=drive_link&amp;ouid=111230326840711947319&amp;rtpof=true&amp;sd=true" TargetMode="External"/><Relationship Id="rId18" Type="http://schemas.openxmlformats.org/officeDocument/2006/relationships/hyperlink" Target="https://o365kh-my.sharepoint.com/personal/justbeingfun_o365_kh_edu_tw/_layouts/15/stream.aspx?id=%2Fpersonal%2Fjustbeingfun%5Fo365%5Fkh%5Fedu%5Ftw%2FDocuments%2F20%5F%E5%88%86%E4%BA%AB%E5%8D%80%2F114%20AI%20%E7%B9%AA%E6%9C%AC%2F%E7%AC%AC1%E7%B5%84%EF%BC%88%E6%9F%8F%E9%9C%96%E3%80%81%E5%AE%A5%E7%91%8B%E3%80%81%E5%93%81%E5%AE%8F%EF%BC%89%2F4%2E%20%E4%BD%9C%E5%93%81%E7%B9%AA%E6%9C%AC%E5%BD%B1%E7%89%87%EF%BC%88%E7%9B%B4%E6%8E%A5%E4%B8%9F%E9%80%B2%E4%BE%86%EF%BC%89%2F%E5%A4%A7%E6%A9%98%E7%9A%84%E8%99%9B%E5%AF%B6%E4%BF%9D%E8%A1%9B%E6%88%B0%2Emp4&amp;nav=eyJyZWZlcnJhbEluZm8iOnsicmVmZXJyYWxBcHAiOiJPbmVEcml2ZUZvckJ1c2luZXNzIiwicmVmZXJyYWxBcHBQbGF0Zm9ybSI6IldlYiIsInJlZmVycmFsTW9kZSI6InZpZXciLCJyZWZlcnJhbFZpZXciOiJNeUZpbGVzTGlua0NvcHkifX0&amp;ga=1&amp;referrer=StreamWebApp%2EWeb&amp;referrerScenario=AddressBarCopied%2Eview%2E002c8e37%2D495f%2D4499%2D849e%2De0c67c808ba7" TargetMode="External"/><Relationship Id="rId26" Type="http://schemas.openxmlformats.org/officeDocument/2006/relationships/hyperlink" Target="https://youtu.be/WIY5zhWDnFw" TargetMode="External"/><Relationship Id="rId39" Type="http://schemas.openxmlformats.org/officeDocument/2006/relationships/hyperlink" Target="https://docs.google.com/document/d/1N1YscPL_5U7HJB2DAwD5OxPDl-8pi2eG/edit?usp=drive_link&amp;ouid=111230326840711947319&amp;rtpof=true&amp;sd=true" TargetMode="External"/><Relationship Id="rId21" Type="http://schemas.openxmlformats.org/officeDocument/2006/relationships/hyperlink" Target="https://docs.google.com/document/d/1hYjiKIwtRpdRXXOYmhaJHQTRx63t864j/edit?usp=drive_link&amp;ouid=111230326840711947319&amp;rtpof=true&amp;sd=true" TargetMode="External"/><Relationship Id="rId34" Type="http://schemas.openxmlformats.org/officeDocument/2006/relationships/hyperlink" Target="https://youtu.be/cRhN-EyWW7w" TargetMode="External"/><Relationship Id="rId42" Type="http://schemas.openxmlformats.org/officeDocument/2006/relationships/hyperlink" Target="https://youtu.be/dNdFsvgb49U" TargetMode="External"/><Relationship Id="rId7" Type="http://schemas.openxmlformats.org/officeDocument/2006/relationships/hyperlink" Target="https://docs.google.com/document/d/14jJYtLC_4mUviNK3QxgGtBhi0e4a6r75/edit?usp=drive_link&amp;ouid=111230326840711947319&amp;rtpof=true&amp;sd=true" TargetMode="External"/><Relationship Id="rId2" Type="http://schemas.openxmlformats.org/officeDocument/2006/relationships/hyperlink" Target="https://youtu.be/gzY8O0c6i70" TargetMode="External"/><Relationship Id="rId16" Type="http://schemas.openxmlformats.org/officeDocument/2006/relationships/hyperlink" Target="https://youtu.be/L31Chv-UEDk" TargetMode="External"/><Relationship Id="rId20" Type="http://schemas.openxmlformats.org/officeDocument/2006/relationships/hyperlink" Target="https://youtu.be/vxwydagOBjc" TargetMode="External"/><Relationship Id="rId29" Type="http://schemas.openxmlformats.org/officeDocument/2006/relationships/hyperlink" Target="https://docs.google.com/document/d/1Cau4-rs_4JWeOfuqsAKxaeqNqSFGmz8u/edit?usp=drive_link&amp;ouid=111230326840711947319&amp;rtpof=true&amp;sd=true" TargetMode="External"/><Relationship Id="rId41" Type="http://schemas.openxmlformats.org/officeDocument/2006/relationships/hyperlink" Target="https://docs.google.com/document/d/1XWOhkreXa4m1nXswJAKa9HjsiN1lKXde/edit?usp=drive_link&amp;ouid=111230326840711947319&amp;rtpof=true&amp;sd=true" TargetMode="External"/><Relationship Id="rId1" Type="http://schemas.openxmlformats.org/officeDocument/2006/relationships/hyperlink" Target="https://docs.google.com/document/d/15x37ja1Bjr7fGljZNgu8PYeq2irVyQR7/edit?usp=drive_link&amp;ouid=111230326840711947319&amp;rtpof=true&amp;sd=true" TargetMode="External"/><Relationship Id="rId6" Type="http://schemas.openxmlformats.org/officeDocument/2006/relationships/hyperlink" Target="https://youtu.be/vgLGEDcWidE" TargetMode="External"/><Relationship Id="rId11" Type="http://schemas.openxmlformats.org/officeDocument/2006/relationships/hyperlink" Target="https://docs.google.com/document/d/1csNJLKUfEXyCHUvoW7UDRXnviuPXwoPQ/edit?usp=drive_link&amp;ouid=111230326840711947319&amp;rtpof=true&amp;sd=true" TargetMode="External"/><Relationship Id="rId24" Type="http://schemas.openxmlformats.org/officeDocument/2006/relationships/hyperlink" Target="https://youtu.be/Joq-VwrYPec" TargetMode="External"/><Relationship Id="rId32" Type="http://schemas.openxmlformats.org/officeDocument/2006/relationships/hyperlink" Target="https://youtu.be/m-1RnYXiw1k" TargetMode="External"/><Relationship Id="rId37" Type="http://schemas.openxmlformats.org/officeDocument/2006/relationships/hyperlink" Target="https://docs.google.com/document/d/1FcLzCKQLT-rQUNmsgffl4FLhZDvkzDBl/edit?usp=drive_link&amp;ouid=111230326840711947319&amp;rtpof=true&amp;sd=true" TargetMode="External"/><Relationship Id="rId40" Type="http://schemas.openxmlformats.org/officeDocument/2006/relationships/hyperlink" Target="https://youtu.be/04iwrYrRStE" TargetMode="External"/><Relationship Id="rId5" Type="http://schemas.openxmlformats.org/officeDocument/2006/relationships/hyperlink" Target="https://docs.google.com/document/d/1t4JMB6DEMjV5kdw6phNOn7c7mVlWNeSw/edit?usp=drive_link&amp;ouid=111230326840711947319&amp;rtpof=true&amp;sd=true" TargetMode="External"/><Relationship Id="rId15" Type="http://schemas.openxmlformats.org/officeDocument/2006/relationships/hyperlink" Target="https://docs.google.com/document/d/1RYlOPl7WXV8JP2eAR1N-DqUMW4HCAgLj/edit?usp=drive_link&amp;ouid=111230326840711947319&amp;rtpof=true&amp;sd=true" TargetMode="External"/><Relationship Id="rId23" Type="http://schemas.openxmlformats.org/officeDocument/2006/relationships/hyperlink" Target="https://docs.google.com/document/d/1ut9TqCWg0u8qu-dIRnSBUnAVCiXbZ3WU/edit?usp=drive_link&amp;ouid=111230326840711947319&amp;rtpof=true&amp;sd=true" TargetMode="External"/><Relationship Id="rId28" Type="http://schemas.openxmlformats.org/officeDocument/2006/relationships/hyperlink" Target="https://youtu.be/DgjYASVlzks" TargetMode="External"/><Relationship Id="rId36" Type="http://schemas.openxmlformats.org/officeDocument/2006/relationships/hyperlink" Target="https://youtu.be/MEjKQXdgsBQ" TargetMode="External"/><Relationship Id="rId10" Type="http://schemas.openxmlformats.org/officeDocument/2006/relationships/hyperlink" Target="https://youtu.be/CEZyj5Wbk7U" TargetMode="External"/><Relationship Id="rId19" Type="http://schemas.openxmlformats.org/officeDocument/2006/relationships/hyperlink" Target="https://docs.google.com/document/d/13Dv5ejOnOgn8WvRBxRrp4K1_iHRmpbzi/edit?usp=drive_link&amp;ouid=111230326840711947319&amp;rtpof=true&amp;sd=true" TargetMode="External"/><Relationship Id="rId31" Type="http://schemas.openxmlformats.org/officeDocument/2006/relationships/hyperlink" Target="https://docs.google.com/document/d/1H2yZhenr7Rx0_pDpIkeSIOoXgn4E8CbX/edit?usp=drive_link&amp;ouid=111230326840711947319&amp;rtpof=true&amp;sd=true" TargetMode="External"/><Relationship Id="rId44" Type="http://schemas.openxmlformats.org/officeDocument/2006/relationships/hyperlink" Target="https://youtu.be/6PJfBkGivzM" TargetMode="External"/><Relationship Id="rId4" Type="http://schemas.openxmlformats.org/officeDocument/2006/relationships/hyperlink" Target="https://youtu.be/KxoKh2r2E-Q" TargetMode="External"/><Relationship Id="rId9" Type="http://schemas.openxmlformats.org/officeDocument/2006/relationships/hyperlink" Target="https://docs.google.com/document/d/1adaZRAnXPCXRZix7oPeJrXbuNBo9PTCo/edit?usp=drive_link&amp;ouid=111230326840711947319&amp;rtpof=true&amp;sd=true" TargetMode="External"/><Relationship Id="rId14" Type="http://schemas.openxmlformats.org/officeDocument/2006/relationships/hyperlink" Target="https://youtu.be/0IexbOBFXiU" TargetMode="External"/><Relationship Id="rId22" Type="http://schemas.openxmlformats.org/officeDocument/2006/relationships/hyperlink" Target="https://youtu.be/9vxJryhNMx8" TargetMode="External"/><Relationship Id="rId27" Type="http://schemas.openxmlformats.org/officeDocument/2006/relationships/hyperlink" Target="https://docs.google.com/document/d/1cmkw61wbMnVWp0jJd-4QPEiVzPJ40Dov/edit?usp=drive_link&amp;ouid=111230326840711947319&amp;rtpof=true&amp;sd=true" TargetMode="External"/><Relationship Id="rId30" Type="http://schemas.openxmlformats.org/officeDocument/2006/relationships/hyperlink" Target="https://youtu.be/BLo_Drt-iUk" TargetMode="External"/><Relationship Id="rId35" Type="http://schemas.openxmlformats.org/officeDocument/2006/relationships/hyperlink" Target="https://docs.google.com/document/d/177N-0B_fAtBfuOkU1VFH9cZYcwMLdJ6s/edit?usp=drive_link&amp;ouid=111230326840711947319&amp;rtpof=true&amp;sd=true" TargetMode="External"/><Relationship Id="rId43" Type="http://schemas.openxmlformats.org/officeDocument/2006/relationships/hyperlink" Target="https://docs.google.com/document/d/1EhCyKW-bVbmRuTOp9hT7qPiLZXnHMOAz/edit?usp=drive_link&amp;ouid=111230326840711947319&amp;rtpof=true&amp;sd=true" TargetMode="External"/><Relationship Id="rId8" Type="http://schemas.openxmlformats.org/officeDocument/2006/relationships/hyperlink" Target="https://youtu.be/h6j-Hg2SCgE" TargetMode="External"/><Relationship Id="rId3" Type="http://schemas.openxmlformats.org/officeDocument/2006/relationships/hyperlink" Target="https://docs.google.com/document/d/1owLutObKlqfI1A0QWi5IJE5TUIv7oQE0/edit?usp=drive_link&amp;ouid=111230326840711947319&amp;rtpof=true&amp;sd=true" TargetMode="External"/><Relationship Id="rId12" Type="http://schemas.openxmlformats.org/officeDocument/2006/relationships/hyperlink" Target="https://youtu.be/YE2WobswH00" TargetMode="External"/><Relationship Id="rId17" Type="http://schemas.openxmlformats.org/officeDocument/2006/relationships/hyperlink" Target="https://drive.google.com/file/d/1QB1i5k18ycyvH0Zg3fW9IKSTaBwBtm3k/view?usp=drive_link" TargetMode="External"/><Relationship Id="rId25" Type="http://schemas.openxmlformats.org/officeDocument/2006/relationships/hyperlink" Target="https://docs.google.com/document/d/1rHLd5Vb8CI4difKH472fIBcJKvAh_c4B/edit?usp=drive_link&amp;ouid=111230326840711947319&amp;rtpof=true&amp;sd=true" TargetMode="External"/><Relationship Id="rId33" Type="http://schemas.openxmlformats.org/officeDocument/2006/relationships/hyperlink" Target="https://docs.google.com/document/d/120NqAU0Z_qW7-OmFauuHC3idD2yIXcQt/edit?usp=drive_link&amp;ouid=111230326840711947319&amp;rtpof=true&amp;sd=true" TargetMode="External"/><Relationship Id="rId38" Type="http://schemas.openxmlformats.org/officeDocument/2006/relationships/hyperlink" Target="https://youtu.be/XKDwSTim9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workbookViewId="0">
      <pane ySplit="5" topLeftCell="A6" activePane="bottomLeft" state="frozen"/>
      <selection pane="bottomLeft" activeCell="A17" sqref="A17:XFD17"/>
    </sheetView>
  </sheetViews>
  <sheetFormatPr defaultColWidth="12.54296875" defaultRowHeight="15" customHeight="1"/>
  <cols>
    <col min="1" max="1" width="3.453125" customWidth="1"/>
    <col min="2" max="2" width="39.453125" bestFit="1" customWidth="1"/>
    <col min="3" max="3" width="12.26953125" customWidth="1"/>
    <col min="4" max="4" width="14.453125" customWidth="1"/>
    <col min="5" max="5" width="14.54296875" bestFit="1" customWidth="1"/>
    <col min="6" max="6" width="14.453125" customWidth="1"/>
    <col min="7" max="7" width="11.81640625" bestFit="1" customWidth="1"/>
    <col min="8" max="8" width="6.81640625" customWidth="1"/>
    <col min="9" max="9" width="35.1796875" customWidth="1"/>
    <col min="10" max="10" width="28.54296875" customWidth="1"/>
    <col min="11" max="11" width="6.81640625" customWidth="1"/>
    <col min="12" max="12" width="9.26953125" customWidth="1"/>
    <col min="13" max="13" width="10.1796875" customWidth="1"/>
    <col min="14" max="14" width="10.453125" customWidth="1"/>
    <col min="15" max="15" width="30.1796875" customWidth="1"/>
    <col min="16" max="16" width="10.81640625" customWidth="1"/>
    <col min="17" max="17" width="74.453125" customWidth="1"/>
    <col min="18" max="28" width="13.54296875" customWidth="1"/>
  </cols>
  <sheetData>
    <row r="1" spans="1:28" ht="42.75" customHeight="1">
      <c r="A1" s="41" t="s">
        <v>0</v>
      </c>
      <c r="B1" s="42"/>
      <c r="C1" s="42"/>
      <c r="D1" s="42"/>
      <c r="E1" s="42"/>
      <c r="F1" s="42"/>
      <c r="G1" s="42"/>
      <c r="H1" s="4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9.75" customHeight="1">
      <c r="A2" s="2"/>
      <c r="B2" s="2"/>
      <c r="C2" s="2"/>
      <c r="D2" s="2"/>
      <c r="E2" s="2"/>
      <c r="F2" s="3" t="s">
        <v>1</v>
      </c>
      <c r="G2" s="43" t="s">
        <v>2</v>
      </c>
      <c r="H2" s="4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4">
      <c r="A3" s="44" t="s">
        <v>3</v>
      </c>
      <c r="B3" s="40"/>
      <c r="C3" s="4" t="s">
        <v>190</v>
      </c>
      <c r="D3" s="4" t="s">
        <v>191</v>
      </c>
      <c r="E3" s="4" t="s">
        <v>192</v>
      </c>
      <c r="F3" s="4" t="s">
        <v>193</v>
      </c>
      <c r="G3" s="4" t="s">
        <v>4</v>
      </c>
      <c r="H3" s="45" t="s">
        <v>5</v>
      </c>
      <c r="I3" s="3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>
      <c r="A4" s="44" t="s">
        <v>6</v>
      </c>
      <c r="B4" s="40"/>
      <c r="C4" s="5">
        <v>0.2</v>
      </c>
      <c r="D4" s="5">
        <v>0.2</v>
      </c>
      <c r="E4" s="5">
        <v>0.2</v>
      </c>
      <c r="F4" s="5">
        <v>0.2</v>
      </c>
      <c r="G4" s="5">
        <v>0.2</v>
      </c>
      <c r="H4" s="46"/>
      <c r="I4" s="3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>
      <c r="A5" s="6" t="s">
        <v>7</v>
      </c>
      <c r="B5" s="6" t="s">
        <v>8</v>
      </c>
      <c r="C5" s="35" t="s">
        <v>9</v>
      </c>
      <c r="D5" s="36"/>
      <c r="E5" s="36"/>
      <c r="F5" s="36"/>
      <c r="G5" s="36"/>
      <c r="H5" s="37"/>
      <c r="I5" s="1" t="s">
        <v>167</v>
      </c>
      <c r="J5" s="1" t="s">
        <v>10</v>
      </c>
      <c r="K5" s="38" t="s">
        <v>11</v>
      </c>
      <c r="L5" s="39"/>
      <c r="M5" s="40"/>
      <c r="N5" s="7" t="s">
        <v>12</v>
      </c>
      <c r="O5" s="7" t="s">
        <v>13</v>
      </c>
      <c r="P5" s="7" t="s">
        <v>14</v>
      </c>
      <c r="Q5" s="7" t="s">
        <v>15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>
      <c r="A6" s="8">
        <v>1</v>
      </c>
      <c r="B6" s="9" t="s">
        <v>16</v>
      </c>
      <c r="C6" s="10">
        <v>19</v>
      </c>
      <c r="D6" s="10">
        <v>19</v>
      </c>
      <c r="E6" s="10">
        <v>18</v>
      </c>
      <c r="F6" s="10">
        <v>18</v>
      </c>
      <c r="G6" s="10">
        <v>18</v>
      </c>
      <c r="H6" s="11">
        <f t="shared" ref="H6:H27" si="0">C6+D6+E6+F6+G6</f>
        <v>92</v>
      </c>
      <c r="I6" s="33" t="s">
        <v>168</v>
      </c>
      <c r="J6" s="12" t="s">
        <v>17</v>
      </c>
      <c r="K6" s="13" t="s">
        <v>18</v>
      </c>
      <c r="L6" s="13" t="s">
        <v>19</v>
      </c>
      <c r="M6" s="13" t="s">
        <v>7</v>
      </c>
      <c r="N6" s="14" t="s">
        <v>20</v>
      </c>
      <c r="O6" s="15" t="s">
        <v>21</v>
      </c>
      <c r="P6" s="14" t="s">
        <v>22</v>
      </c>
      <c r="Q6" s="15" t="s">
        <v>23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>
      <c r="A7" s="16">
        <v>2</v>
      </c>
      <c r="B7" s="9" t="s">
        <v>24</v>
      </c>
      <c r="C7" s="17">
        <v>19</v>
      </c>
      <c r="D7" s="17">
        <v>19</v>
      </c>
      <c r="E7" s="17">
        <v>19</v>
      </c>
      <c r="F7" s="17">
        <v>19</v>
      </c>
      <c r="G7" s="17">
        <v>19</v>
      </c>
      <c r="H7" s="11">
        <f t="shared" si="0"/>
        <v>95</v>
      </c>
      <c r="I7" s="34" t="s">
        <v>169</v>
      </c>
      <c r="J7" s="12" t="s">
        <v>25</v>
      </c>
      <c r="K7" s="17">
        <v>1</v>
      </c>
      <c r="L7" s="17">
        <f t="shared" ref="L7:L14" si="1">LARGE($H$6:$H$27, K7)</f>
        <v>95</v>
      </c>
      <c r="M7" s="13">
        <f ca="1">IFERROR(__xludf.DUMMYFUNCTION("INDEX(FILTER($A$6:$A$27,$H$6:$H$27=K7),COUNTIF($K$7:K927,K7))"),8)</f>
        <v>8</v>
      </c>
      <c r="N7" s="14" t="s">
        <v>26</v>
      </c>
      <c r="O7" s="15" t="s">
        <v>27</v>
      </c>
      <c r="P7" s="14" t="s">
        <v>28</v>
      </c>
      <c r="Q7" s="15" t="s">
        <v>29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>
      <c r="A8" s="16">
        <v>3</v>
      </c>
      <c r="B8" s="9" t="s">
        <v>30</v>
      </c>
      <c r="C8" s="17">
        <v>19</v>
      </c>
      <c r="D8" s="17">
        <v>19</v>
      </c>
      <c r="E8" s="17">
        <v>17</v>
      </c>
      <c r="F8" s="17">
        <v>18</v>
      </c>
      <c r="G8" s="17">
        <v>18</v>
      </c>
      <c r="H8" s="11">
        <f t="shared" si="0"/>
        <v>91</v>
      </c>
      <c r="I8" s="34" t="s">
        <v>170</v>
      </c>
      <c r="J8" s="12" t="s">
        <v>31</v>
      </c>
      <c r="K8" s="17">
        <v>2</v>
      </c>
      <c r="L8" s="17">
        <f t="shared" si="1"/>
        <v>93</v>
      </c>
      <c r="M8" s="13">
        <f ca="1">IFERROR(__xludf.DUMMYFUNCTION("INDEX(FILTER($A$6:$A$27,$H$6:$H$27=K8),COUNTIF($K$8:K927,K8))"),7)</f>
        <v>7</v>
      </c>
      <c r="N8" s="14" t="s">
        <v>32</v>
      </c>
      <c r="O8" s="15" t="s">
        <v>33</v>
      </c>
      <c r="P8" s="14" t="s">
        <v>34</v>
      </c>
      <c r="Q8" s="15" t="s">
        <v>35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>
      <c r="A9" s="16">
        <v>4</v>
      </c>
      <c r="B9" s="9" t="s">
        <v>36</v>
      </c>
      <c r="C9" s="17">
        <v>18</v>
      </c>
      <c r="D9" s="17">
        <v>18</v>
      </c>
      <c r="E9" s="17">
        <v>19</v>
      </c>
      <c r="F9" s="17">
        <v>18</v>
      </c>
      <c r="G9" s="17">
        <v>19</v>
      </c>
      <c r="H9" s="11">
        <f t="shared" si="0"/>
        <v>92</v>
      </c>
      <c r="I9" s="34" t="s">
        <v>171</v>
      </c>
      <c r="J9" s="12" t="s">
        <v>37</v>
      </c>
      <c r="K9" s="17">
        <v>3</v>
      </c>
      <c r="L9" s="17">
        <f t="shared" si="1"/>
        <v>93</v>
      </c>
      <c r="M9" s="13">
        <f ca="1">IFERROR(__xludf.DUMMYFUNCTION("INDEX(FILTER($A$6:$A$27,$H$6:$H$27=K9),COUNTIF($K$9:K927,K9))"),6)</f>
        <v>6</v>
      </c>
      <c r="N9" s="14" t="s">
        <v>38</v>
      </c>
      <c r="O9" s="15" t="s">
        <v>39</v>
      </c>
      <c r="P9" s="14" t="s">
        <v>40</v>
      </c>
      <c r="Q9" s="15" t="s">
        <v>41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>
      <c r="A10" s="16">
        <v>5</v>
      </c>
      <c r="B10" s="9" t="s">
        <v>42</v>
      </c>
      <c r="C10" s="17">
        <v>18</v>
      </c>
      <c r="D10" s="17">
        <v>18</v>
      </c>
      <c r="E10" s="17">
        <v>18</v>
      </c>
      <c r="F10" s="17">
        <v>18</v>
      </c>
      <c r="G10" s="17">
        <v>19</v>
      </c>
      <c r="H10" s="11">
        <f t="shared" si="0"/>
        <v>91</v>
      </c>
      <c r="I10" s="34" t="s">
        <v>172</v>
      </c>
      <c r="J10" s="12" t="s">
        <v>194</v>
      </c>
      <c r="K10" s="17">
        <v>4</v>
      </c>
      <c r="L10" s="17">
        <f t="shared" si="1"/>
        <v>92</v>
      </c>
      <c r="M10" s="13">
        <f ca="1">IFERROR(__xludf.DUMMYFUNCTION("INDEX(FILTER($A$6:$A$27,$H$6:$H$27=K10),COUNTIF($K$10:K927,K10))"),5)</f>
        <v>5</v>
      </c>
      <c r="N10" s="14" t="s">
        <v>43</v>
      </c>
      <c r="O10" s="15" t="s">
        <v>44</v>
      </c>
      <c r="P10" s="14" t="s">
        <v>45</v>
      </c>
      <c r="Q10" s="15" t="s">
        <v>46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>
      <c r="A11" s="16">
        <v>6</v>
      </c>
      <c r="B11" s="9" t="s">
        <v>47</v>
      </c>
      <c r="C11" s="17">
        <v>17</v>
      </c>
      <c r="D11" s="17">
        <v>18</v>
      </c>
      <c r="E11" s="17">
        <v>18</v>
      </c>
      <c r="F11" s="17">
        <v>18</v>
      </c>
      <c r="G11" s="17">
        <v>19</v>
      </c>
      <c r="H11" s="11">
        <f t="shared" si="0"/>
        <v>90</v>
      </c>
      <c r="I11" s="34" t="s">
        <v>173</v>
      </c>
      <c r="J11" s="12" t="s">
        <v>48</v>
      </c>
      <c r="K11" s="17">
        <v>5</v>
      </c>
      <c r="L11" s="17">
        <f t="shared" si="1"/>
        <v>92</v>
      </c>
      <c r="M11" s="13">
        <f ca="1">IFERROR(__xludf.DUMMYFUNCTION("INDEX(FILTER($A$6:$A$27,$H$6:$H$27=K11),COUNTIF($K$11:K927,K11))"),4)</f>
        <v>4</v>
      </c>
      <c r="N11" s="14" t="s">
        <v>49</v>
      </c>
      <c r="O11" s="15" t="s">
        <v>50</v>
      </c>
      <c r="P11" s="14" t="s">
        <v>51</v>
      </c>
      <c r="Q11" s="15" t="s">
        <v>52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16">
        <v>7</v>
      </c>
      <c r="B12" s="9" t="s">
        <v>53</v>
      </c>
      <c r="C12" s="17">
        <v>18</v>
      </c>
      <c r="D12" s="17">
        <v>19</v>
      </c>
      <c r="E12" s="17">
        <v>18</v>
      </c>
      <c r="F12" s="17">
        <v>18</v>
      </c>
      <c r="G12" s="17">
        <v>19</v>
      </c>
      <c r="H12" s="11">
        <f t="shared" si="0"/>
        <v>92</v>
      </c>
      <c r="I12" s="34" t="s">
        <v>174</v>
      </c>
      <c r="J12" s="12" t="s">
        <v>54</v>
      </c>
      <c r="K12" s="17">
        <v>6</v>
      </c>
      <c r="L12" s="17">
        <f t="shared" si="1"/>
        <v>92</v>
      </c>
      <c r="M12" s="13">
        <f ca="1">IFERROR(__xludf.DUMMYFUNCTION("INDEX(FILTER($A$6:$A$27,$H$6:$H$27=K12),COUNTIF($K$12:K927,K12))"),3)</f>
        <v>3</v>
      </c>
      <c r="N12" s="14" t="s">
        <v>55</v>
      </c>
      <c r="O12" s="15" t="s">
        <v>56</v>
      </c>
      <c r="P12" s="14" t="s">
        <v>57</v>
      </c>
      <c r="Q12" s="15" t="s">
        <v>58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A13" s="16">
        <v>8</v>
      </c>
      <c r="B13" s="9" t="s">
        <v>59</v>
      </c>
      <c r="C13" s="17">
        <v>18</v>
      </c>
      <c r="D13" s="17">
        <v>18</v>
      </c>
      <c r="E13" s="17">
        <v>19</v>
      </c>
      <c r="F13" s="17">
        <v>18</v>
      </c>
      <c r="G13" s="17">
        <v>19</v>
      </c>
      <c r="H13" s="11">
        <f t="shared" si="0"/>
        <v>92</v>
      </c>
      <c r="I13" s="34" t="s">
        <v>175</v>
      </c>
      <c r="J13" s="12" t="s">
        <v>60</v>
      </c>
      <c r="K13" s="17">
        <v>7</v>
      </c>
      <c r="L13" s="17">
        <f t="shared" si="1"/>
        <v>92</v>
      </c>
      <c r="M13" s="13">
        <f ca="1">IFERROR(__xludf.DUMMYFUNCTION("INDEX(FILTER($A$6:$A$27,$H$6:$H$27=K13),COUNTIF($K$13:K927,K13))"),2)</f>
        <v>2</v>
      </c>
      <c r="N13" s="14" t="s">
        <v>61</v>
      </c>
      <c r="O13" s="15" t="s">
        <v>62</v>
      </c>
      <c r="P13" s="14" t="s">
        <v>63</v>
      </c>
      <c r="Q13" s="15" t="s">
        <v>64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A14" s="16">
        <v>9</v>
      </c>
      <c r="B14" s="18" t="s">
        <v>65</v>
      </c>
      <c r="C14" s="17">
        <v>17</v>
      </c>
      <c r="D14" s="17">
        <v>18</v>
      </c>
      <c r="E14" s="17">
        <v>17</v>
      </c>
      <c r="F14" s="17">
        <v>17</v>
      </c>
      <c r="G14" s="17">
        <v>17</v>
      </c>
      <c r="H14" s="11">
        <f t="shared" si="0"/>
        <v>86</v>
      </c>
      <c r="I14" s="34" t="s">
        <v>176</v>
      </c>
      <c r="J14" s="12" t="s">
        <v>66</v>
      </c>
      <c r="K14" s="17">
        <v>8</v>
      </c>
      <c r="L14" s="17">
        <f t="shared" si="1"/>
        <v>92</v>
      </c>
      <c r="M14" s="13">
        <f ca="1">IFERROR(__xludf.DUMMYFUNCTION("INDEX(FILTER($A$6:$A$27,$H$6:$H$27=K14),COUNTIF($K$14:K927,K14))"),1)</f>
        <v>1</v>
      </c>
      <c r="N14" s="19" t="s">
        <v>67</v>
      </c>
      <c r="O14" s="15" t="s">
        <v>68</v>
      </c>
      <c r="P14" s="19" t="s">
        <v>69</v>
      </c>
      <c r="Q14" s="20" t="s">
        <v>70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>
      <c r="A15" s="16">
        <v>10</v>
      </c>
      <c r="B15" s="9" t="s">
        <v>71</v>
      </c>
      <c r="C15" s="17">
        <v>18</v>
      </c>
      <c r="D15" s="17">
        <v>19</v>
      </c>
      <c r="E15" s="17">
        <v>18</v>
      </c>
      <c r="F15" s="17">
        <v>18</v>
      </c>
      <c r="G15" s="17">
        <v>19</v>
      </c>
      <c r="H15" s="11">
        <f t="shared" si="0"/>
        <v>92</v>
      </c>
      <c r="I15" s="34" t="s">
        <v>177</v>
      </c>
      <c r="J15" s="12" t="s">
        <v>72</v>
      </c>
      <c r="K15" s="2"/>
      <c r="L15" s="2"/>
      <c r="M15" s="21"/>
      <c r="N15" s="14" t="s">
        <v>73</v>
      </c>
      <c r="O15" s="15" t="s">
        <v>74</v>
      </c>
      <c r="P15" s="14" t="s">
        <v>75</v>
      </c>
      <c r="Q15" s="15" t="s">
        <v>76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>
      <c r="A16" s="16">
        <v>11</v>
      </c>
      <c r="B16" s="9" t="s">
        <v>77</v>
      </c>
      <c r="C16" s="17">
        <v>17</v>
      </c>
      <c r="D16" s="17">
        <v>19</v>
      </c>
      <c r="E16" s="17">
        <v>17</v>
      </c>
      <c r="F16" s="17">
        <v>18</v>
      </c>
      <c r="G16" s="17">
        <v>19</v>
      </c>
      <c r="H16" s="11">
        <f t="shared" si="0"/>
        <v>90</v>
      </c>
      <c r="I16" s="34" t="s">
        <v>178</v>
      </c>
      <c r="J16" s="12" t="s">
        <v>78</v>
      </c>
      <c r="K16" s="2"/>
      <c r="L16" s="2"/>
      <c r="M16" s="21"/>
      <c r="N16" s="14" t="s">
        <v>79</v>
      </c>
      <c r="O16" s="15" t="s">
        <v>80</v>
      </c>
      <c r="P16" s="14" t="s">
        <v>81</v>
      </c>
      <c r="Q16" s="15" t="s">
        <v>82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16">
        <v>12</v>
      </c>
      <c r="B17" s="9" t="s">
        <v>83</v>
      </c>
      <c r="C17" s="17">
        <v>18</v>
      </c>
      <c r="D17" s="17">
        <v>18</v>
      </c>
      <c r="E17" s="17">
        <v>18</v>
      </c>
      <c r="F17" s="17">
        <v>18</v>
      </c>
      <c r="G17" s="17">
        <v>19</v>
      </c>
      <c r="H17" s="11">
        <f t="shared" si="0"/>
        <v>91</v>
      </c>
      <c r="I17" s="34" t="s">
        <v>179</v>
      </c>
      <c r="J17" s="12" t="s">
        <v>84</v>
      </c>
      <c r="K17" s="1"/>
      <c r="L17" s="1"/>
      <c r="M17" s="1"/>
      <c r="N17" s="14" t="s">
        <v>85</v>
      </c>
      <c r="O17" s="15" t="s">
        <v>86</v>
      </c>
      <c r="P17" s="14" t="s">
        <v>87</v>
      </c>
      <c r="Q17" s="15" t="s">
        <v>88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16">
        <v>13</v>
      </c>
      <c r="B18" s="9" t="s">
        <v>89</v>
      </c>
      <c r="C18" s="17">
        <v>18</v>
      </c>
      <c r="D18" s="17">
        <v>18</v>
      </c>
      <c r="E18" s="17">
        <v>18</v>
      </c>
      <c r="F18" s="17">
        <v>18</v>
      </c>
      <c r="G18" s="17">
        <v>18</v>
      </c>
      <c r="H18" s="11">
        <f t="shared" si="0"/>
        <v>90</v>
      </c>
      <c r="I18" s="34" t="s">
        <v>180</v>
      </c>
      <c r="J18" s="12" t="s">
        <v>90</v>
      </c>
      <c r="K18" s="1"/>
      <c r="L18" s="1"/>
      <c r="M18" s="1"/>
      <c r="N18" s="14" t="s">
        <v>91</v>
      </c>
      <c r="O18" s="15" t="s">
        <v>92</v>
      </c>
      <c r="P18" s="14" t="s">
        <v>93</v>
      </c>
      <c r="Q18" s="15" t="s">
        <v>94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16">
        <v>14</v>
      </c>
      <c r="B19" s="9" t="s">
        <v>95</v>
      </c>
      <c r="C19" s="17">
        <v>18</v>
      </c>
      <c r="D19" s="17">
        <v>17</v>
      </c>
      <c r="E19" s="17">
        <v>18</v>
      </c>
      <c r="F19" s="17">
        <v>17</v>
      </c>
      <c r="G19" s="17">
        <v>18</v>
      </c>
      <c r="H19" s="11">
        <f t="shared" si="0"/>
        <v>88</v>
      </c>
      <c r="I19" s="34" t="s">
        <v>181</v>
      </c>
      <c r="J19" s="12" t="s">
        <v>96</v>
      </c>
      <c r="K19" s="1"/>
      <c r="L19" s="1"/>
      <c r="M19" s="1"/>
      <c r="N19" s="14" t="s">
        <v>97</v>
      </c>
      <c r="O19" s="15" t="s">
        <v>98</v>
      </c>
      <c r="P19" s="14" t="s">
        <v>99</v>
      </c>
      <c r="Q19" s="15" t="s">
        <v>100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16">
        <v>15</v>
      </c>
      <c r="B20" s="9" t="s">
        <v>101</v>
      </c>
      <c r="C20" s="17">
        <v>17</v>
      </c>
      <c r="D20" s="17">
        <v>17</v>
      </c>
      <c r="E20" s="17">
        <v>18</v>
      </c>
      <c r="F20" s="17">
        <v>18</v>
      </c>
      <c r="G20" s="17">
        <v>18</v>
      </c>
      <c r="H20" s="11">
        <f t="shared" si="0"/>
        <v>88</v>
      </c>
      <c r="I20" s="34" t="s">
        <v>182</v>
      </c>
      <c r="J20" s="12" t="s">
        <v>102</v>
      </c>
      <c r="K20" s="1"/>
      <c r="L20" s="1"/>
      <c r="M20" s="1"/>
      <c r="N20" s="14" t="s">
        <v>103</v>
      </c>
      <c r="O20" s="15" t="s">
        <v>104</v>
      </c>
      <c r="P20" s="14" t="s">
        <v>105</v>
      </c>
      <c r="Q20" s="15" t="s">
        <v>106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16">
        <v>16</v>
      </c>
      <c r="B21" s="9" t="s">
        <v>107</v>
      </c>
      <c r="C21" s="17">
        <v>17</v>
      </c>
      <c r="D21" s="17">
        <v>18</v>
      </c>
      <c r="E21" s="17">
        <v>18</v>
      </c>
      <c r="F21" s="17">
        <v>18</v>
      </c>
      <c r="G21" s="17">
        <v>18</v>
      </c>
      <c r="H21" s="11">
        <f t="shared" si="0"/>
        <v>89</v>
      </c>
      <c r="I21" s="34" t="s">
        <v>183</v>
      </c>
      <c r="J21" s="12" t="s">
        <v>108</v>
      </c>
      <c r="K21" s="1"/>
      <c r="L21" s="1"/>
      <c r="M21" s="1"/>
      <c r="N21" s="14" t="s">
        <v>109</v>
      </c>
      <c r="O21" s="15" t="s">
        <v>110</v>
      </c>
      <c r="P21" s="14" t="s">
        <v>111</v>
      </c>
      <c r="Q21" s="15" t="s">
        <v>112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16">
        <v>17</v>
      </c>
      <c r="B22" s="9" t="s">
        <v>113</v>
      </c>
      <c r="C22" s="17">
        <v>18</v>
      </c>
      <c r="D22" s="17">
        <v>18</v>
      </c>
      <c r="E22" s="17">
        <v>19</v>
      </c>
      <c r="F22" s="17">
        <v>17</v>
      </c>
      <c r="G22" s="17">
        <v>18</v>
      </c>
      <c r="H22" s="11">
        <f t="shared" si="0"/>
        <v>90</v>
      </c>
      <c r="I22" s="34" t="s">
        <v>184</v>
      </c>
      <c r="J22" s="12" t="s">
        <v>114</v>
      </c>
      <c r="K22" s="1"/>
      <c r="L22" s="1"/>
      <c r="M22" s="1"/>
      <c r="N22" s="14" t="s">
        <v>115</v>
      </c>
      <c r="O22" s="15" t="s">
        <v>116</v>
      </c>
      <c r="P22" s="14" t="s">
        <v>117</v>
      </c>
      <c r="Q22" s="15" t="s">
        <v>118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A23" s="16">
        <v>18</v>
      </c>
      <c r="B23" s="9" t="s">
        <v>119</v>
      </c>
      <c r="C23" s="17">
        <v>19</v>
      </c>
      <c r="D23" s="17">
        <v>19</v>
      </c>
      <c r="E23" s="17">
        <v>18</v>
      </c>
      <c r="F23" s="17">
        <v>18</v>
      </c>
      <c r="G23" s="17">
        <v>19</v>
      </c>
      <c r="H23" s="11">
        <f t="shared" si="0"/>
        <v>93</v>
      </c>
      <c r="I23" s="34" t="s">
        <v>185</v>
      </c>
      <c r="J23" s="12" t="s">
        <v>120</v>
      </c>
      <c r="K23" s="1"/>
      <c r="L23" s="1"/>
      <c r="M23" s="1"/>
      <c r="N23" s="14" t="s">
        <v>121</v>
      </c>
      <c r="O23" s="15" t="s">
        <v>122</v>
      </c>
      <c r="P23" s="19" t="s">
        <v>123</v>
      </c>
      <c r="Q23" s="20" t="s">
        <v>124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A24" s="16">
        <v>19</v>
      </c>
      <c r="B24" s="9" t="s">
        <v>125</v>
      </c>
      <c r="C24" s="17">
        <v>18</v>
      </c>
      <c r="D24" s="17">
        <v>18</v>
      </c>
      <c r="E24" s="17">
        <v>17</v>
      </c>
      <c r="F24" s="17">
        <v>18</v>
      </c>
      <c r="G24" s="17">
        <v>19</v>
      </c>
      <c r="H24" s="11">
        <f t="shared" si="0"/>
        <v>90</v>
      </c>
      <c r="I24" s="34" t="s">
        <v>186</v>
      </c>
      <c r="J24" s="12" t="s">
        <v>126</v>
      </c>
      <c r="K24" s="1"/>
      <c r="L24" s="1"/>
      <c r="M24" s="1"/>
      <c r="N24" s="14" t="s">
        <v>127</v>
      </c>
      <c r="O24" s="15" t="s">
        <v>128</v>
      </c>
      <c r="P24" s="14" t="s">
        <v>129</v>
      </c>
      <c r="Q24" s="15" t="s">
        <v>130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16">
        <v>20</v>
      </c>
      <c r="B25" s="9" t="s">
        <v>131</v>
      </c>
      <c r="C25" s="17">
        <v>17</v>
      </c>
      <c r="D25" s="17">
        <v>18</v>
      </c>
      <c r="E25" s="17">
        <v>18</v>
      </c>
      <c r="F25" s="17">
        <v>18</v>
      </c>
      <c r="G25" s="17">
        <v>18</v>
      </c>
      <c r="H25" s="11">
        <f t="shared" si="0"/>
        <v>89</v>
      </c>
      <c r="I25" s="34" t="s">
        <v>187</v>
      </c>
      <c r="J25" s="12" t="s">
        <v>132</v>
      </c>
      <c r="K25" s="1"/>
      <c r="L25" s="1"/>
      <c r="M25" s="1"/>
      <c r="N25" s="14" t="s">
        <v>133</v>
      </c>
      <c r="O25" s="15" t="s">
        <v>134</v>
      </c>
      <c r="P25" s="14" t="s">
        <v>135</v>
      </c>
      <c r="Q25" s="15" t="s">
        <v>136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16">
        <v>21</v>
      </c>
      <c r="B26" s="9" t="s">
        <v>137</v>
      </c>
      <c r="C26" s="17">
        <v>18</v>
      </c>
      <c r="D26" s="17">
        <v>18</v>
      </c>
      <c r="E26" s="17">
        <v>18</v>
      </c>
      <c r="F26" s="17">
        <v>18</v>
      </c>
      <c r="G26" s="17">
        <v>18</v>
      </c>
      <c r="H26" s="11">
        <f t="shared" si="0"/>
        <v>90</v>
      </c>
      <c r="I26" s="34" t="s">
        <v>188</v>
      </c>
      <c r="J26" s="12" t="s">
        <v>138</v>
      </c>
      <c r="K26" s="1"/>
      <c r="L26" s="1"/>
      <c r="M26" s="1"/>
      <c r="N26" s="14" t="s">
        <v>139</v>
      </c>
      <c r="O26" s="15" t="s">
        <v>140</v>
      </c>
      <c r="P26" s="19" t="s">
        <v>141</v>
      </c>
      <c r="Q26" s="20" t="s">
        <v>142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16">
        <v>22</v>
      </c>
      <c r="B27" s="9" t="s">
        <v>143</v>
      </c>
      <c r="C27" s="17">
        <v>18</v>
      </c>
      <c r="D27" s="17">
        <v>19</v>
      </c>
      <c r="E27" s="17">
        <v>19</v>
      </c>
      <c r="F27" s="17">
        <v>18</v>
      </c>
      <c r="G27" s="17">
        <v>19</v>
      </c>
      <c r="H27" s="11">
        <f t="shared" si="0"/>
        <v>93</v>
      </c>
      <c r="I27" s="34" t="s">
        <v>189</v>
      </c>
      <c r="J27" s="12" t="s">
        <v>144</v>
      </c>
      <c r="K27" s="1"/>
      <c r="L27" s="1"/>
      <c r="M27" s="1"/>
      <c r="N27" s="14" t="s">
        <v>145</v>
      </c>
      <c r="O27" s="15" t="s">
        <v>146</v>
      </c>
      <c r="P27" s="14" t="s">
        <v>147</v>
      </c>
      <c r="Q27" s="15" t="s">
        <v>148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A28" s="22"/>
      <c r="B28" s="2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A29" s="22"/>
      <c r="B29" s="2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A30" s="22"/>
      <c r="B30" s="2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A31" s="22"/>
      <c r="B31" s="2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A32" s="22"/>
      <c r="B32" s="2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>
      <c r="A33" s="22"/>
      <c r="B33" s="2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>
      <c r="A34" s="22"/>
      <c r="B34" s="2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>
      <c r="A35" s="22"/>
      <c r="B35" s="2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>
      <c r="A36" s="22"/>
      <c r="B36" s="2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>
      <c r="A37" s="22"/>
      <c r="B37" s="2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>
      <c r="A38" s="22"/>
      <c r="B38" s="2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22"/>
      <c r="B39" s="2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>
      <c r="A40" s="22"/>
      <c r="B40" s="2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>
      <c r="A41" s="22"/>
      <c r="B41" s="2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>
      <c r="A42" s="22"/>
      <c r="B42" s="2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>
      <c r="A43" s="22"/>
      <c r="B43" s="2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22"/>
      <c r="B44" s="2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>
      <c r="A45" s="22"/>
      <c r="B45" s="2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22"/>
      <c r="B46" s="2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22"/>
      <c r="B47" s="2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22"/>
      <c r="B48" s="2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22"/>
      <c r="B49" s="2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>
      <c r="A50" s="22"/>
      <c r="B50" s="2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22"/>
      <c r="B51" s="2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22"/>
      <c r="B52" s="2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22"/>
      <c r="B53" s="2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22"/>
      <c r="B54" s="2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22"/>
      <c r="B55" s="2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22"/>
      <c r="B56" s="2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22"/>
      <c r="B57" s="2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22"/>
      <c r="B58" s="2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22"/>
      <c r="B59" s="2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22"/>
      <c r="B60" s="2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22"/>
      <c r="B61" s="2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22"/>
      <c r="B62" s="2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22"/>
      <c r="B63" s="2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22"/>
      <c r="B64" s="2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22"/>
      <c r="B65" s="2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22"/>
      <c r="B66" s="2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22"/>
      <c r="B67" s="2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22"/>
      <c r="B68" s="2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22"/>
      <c r="B69" s="2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22"/>
      <c r="B70" s="2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22"/>
      <c r="B71" s="2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22"/>
      <c r="B72" s="2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22"/>
      <c r="B73" s="2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22"/>
      <c r="B74" s="2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22"/>
      <c r="B75" s="2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22"/>
      <c r="B76" s="2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22"/>
      <c r="B77" s="2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22"/>
      <c r="B78" s="2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22"/>
      <c r="B79" s="2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22"/>
      <c r="B80" s="2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22"/>
      <c r="B81" s="2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22"/>
      <c r="B82" s="2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22"/>
      <c r="B83" s="2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22"/>
      <c r="B84" s="2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22"/>
      <c r="B85" s="2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22"/>
      <c r="B86" s="2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22"/>
      <c r="B87" s="2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22"/>
      <c r="B88" s="2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22"/>
      <c r="B89" s="2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22"/>
      <c r="B90" s="2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22"/>
      <c r="B91" s="2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22"/>
      <c r="B92" s="2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22"/>
      <c r="B93" s="2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22"/>
      <c r="B94" s="2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22"/>
      <c r="B95" s="2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22"/>
      <c r="B96" s="2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22"/>
      <c r="B97" s="2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22"/>
      <c r="B98" s="2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22"/>
      <c r="B99" s="2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22"/>
      <c r="B100" s="2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22"/>
      <c r="B101" s="2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22"/>
      <c r="B102" s="2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22"/>
      <c r="B103" s="2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22"/>
      <c r="B104" s="2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22"/>
      <c r="B105" s="2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22"/>
      <c r="B106" s="2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22"/>
      <c r="B107" s="2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22"/>
      <c r="B108" s="2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22"/>
      <c r="B109" s="2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22"/>
      <c r="B110" s="2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22"/>
      <c r="B111" s="2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22"/>
      <c r="B112" s="2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22"/>
      <c r="B113" s="2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22"/>
      <c r="B114" s="2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22"/>
      <c r="B115" s="2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22"/>
      <c r="B116" s="2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22"/>
      <c r="B117" s="2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22"/>
      <c r="B118" s="2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22"/>
      <c r="B119" s="2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22"/>
      <c r="B120" s="2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22"/>
      <c r="B121" s="2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22"/>
      <c r="B122" s="2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22"/>
      <c r="B123" s="2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22"/>
      <c r="B124" s="2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22"/>
      <c r="B125" s="2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22"/>
      <c r="B126" s="2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22"/>
      <c r="B127" s="2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22"/>
      <c r="B128" s="2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22"/>
      <c r="B129" s="2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22"/>
      <c r="B130" s="2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22"/>
      <c r="B131" s="2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22"/>
      <c r="B132" s="2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22"/>
      <c r="B133" s="2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22"/>
      <c r="B134" s="2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22"/>
      <c r="B135" s="2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22"/>
      <c r="B136" s="2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22"/>
      <c r="B137" s="2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22"/>
      <c r="B138" s="2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22"/>
      <c r="B139" s="2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22"/>
      <c r="B140" s="2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22"/>
      <c r="B141" s="2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22"/>
      <c r="B142" s="2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22"/>
      <c r="B143" s="2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22"/>
      <c r="B144" s="2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22"/>
      <c r="B145" s="2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22"/>
      <c r="B146" s="2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22"/>
      <c r="B147" s="2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22"/>
      <c r="B148" s="2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22"/>
      <c r="B149" s="2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22"/>
      <c r="B150" s="2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22"/>
      <c r="B151" s="2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22"/>
      <c r="B152" s="2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22"/>
      <c r="B153" s="2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22"/>
      <c r="B154" s="2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22"/>
      <c r="B155" s="2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22"/>
      <c r="B156" s="2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22"/>
      <c r="B157" s="2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22"/>
      <c r="B158" s="2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22"/>
      <c r="B159" s="2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22"/>
      <c r="B160" s="2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22"/>
      <c r="B161" s="2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22"/>
      <c r="B162" s="2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22"/>
      <c r="B163" s="2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22"/>
      <c r="B164" s="2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22"/>
      <c r="B165" s="2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22"/>
      <c r="B166" s="2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22"/>
      <c r="B167" s="2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22"/>
      <c r="B168" s="2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22"/>
      <c r="B169" s="2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22"/>
      <c r="B170" s="2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22"/>
      <c r="B171" s="2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22"/>
      <c r="B172" s="2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22"/>
      <c r="B173" s="2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22"/>
      <c r="B174" s="2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22"/>
      <c r="B175" s="2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22"/>
      <c r="B176" s="2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22"/>
      <c r="B177" s="2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22"/>
      <c r="B178" s="2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22"/>
      <c r="B179" s="2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22"/>
      <c r="B180" s="2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22"/>
      <c r="B181" s="2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22"/>
      <c r="B182" s="2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22"/>
      <c r="B183" s="2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22"/>
      <c r="B184" s="2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22"/>
      <c r="B185" s="2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22"/>
      <c r="B186" s="2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22"/>
      <c r="B187" s="2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22"/>
      <c r="B188" s="2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22"/>
      <c r="B189" s="2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22"/>
      <c r="B190" s="2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22"/>
      <c r="B191" s="2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22"/>
      <c r="B192" s="2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22"/>
      <c r="B193" s="2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22"/>
      <c r="B194" s="2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22"/>
      <c r="B195" s="2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22"/>
      <c r="B196" s="2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22"/>
      <c r="B197" s="2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22"/>
      <c r="B198" s="2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22"/>
      <c r="B199" s="2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22"/>
      <c r="B200" s="2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22"/>
      <c r="B201" s="2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22"/>
      <c r="B202" s="2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22"/>
      <c r="B203" s="2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22"/>
      <c r="B204" s="2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22"/>
      <c r="B205" s="2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22"/>
      <c r="B206" s="2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22"/>
      <c r="B207" s="2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22"/>
      <c r="B208" s="2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22"/>
      <c r="B209" s="2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22"/>
      <c r="B210" s="2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22"/>
      <c r="B211" s="2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22"/>
      <c r="B212" s="2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22"/>
      <c r="B213" s="2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22"/>
      <c r="B214" s="2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22"/>
      <c r="B215" s="2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22"/>
      <c r="B216" s="2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22"/>
      <c r="B217" s="2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22"/>
      <c r="B218" s="2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22"/>
      <c r="B219" s="2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22"/>
      <c r="B220" s="2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22"/>
      <c r="B221" s="2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22"/>
      <c r="B222" s="2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22"/>
      <c r="B223" s="2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22"/>
      <c r="B224" s="2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22"/>
      <c r="B225" s="2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22"/>
      <c r="B226" s="2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22"/>
      <c r="B227" s="2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/>
    <row r="229" spans="1:28" ht="15.75" customHeight="1"/>
    <row r="230" spans="1:28" ht="15.75" customHeight="1"/>
    <row r="231" spans="1:28" ht="15.75" customHeight="1"/>
    <row r="232" spans="1:28" ht="15.75" customHeight="1"/>
    <row r="233" spans="1:28" ht="15.75" customHeight="1"/>
    <row r="234" spans="1:28" ht="15.75" customHeight="1"/>
    <row r="235" spans="1:28" ht="15.75" customHeight="1"/>
    <row r="236" spans="1:28" ht="15.75" customHeight="1"/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5:H5"/>
    <mergeCell ref="K5:M5"/>
    <mergeCell ref="A1:H1"/>
    <mergeCell ref="G2:H2"/>
    <mergeCell ref="A3:B3"/>
    <mergeCell ref="H3:H4"/>
    <mergeCell ref="A4:B4"/>
  </mergeCells>
  <phoneticPr fontId="21" type="noConversion"/>
  <conditionalFormatting sqref="H6:H27">
    <cfRule type="colorScale" priority="1">
      <colorScale>
        <cfvo type="min"/>
        <cfvo type="max"/>
        <color rgb="FFFFFFFF"/>
        <color rgb="FFFFD666"/>
      </colorScale>
    </cfRule>
  </conditionalFormatting>
  <dataValidations count="1">
    <dataValidation type="list" allowBlank="1" showErrorMessage="1" sqref="G2" xr:uid="{00000000-0002-0000-0000-000000000000}">
      <formula1>"王立仁老師,莊宗嚴老師,李美惠老師,陳政川老師,陳佑華老師,羅玗貞老師,李秉芳老師"</formula1>
    </dataValidation>
  </dataValidations>
  <hyperlinks>
    <hyperlink ref="B6" r:id="rId1" xr:uid="{00000000-0004-0000-0000-000000000000}"/>
    <hyperlink ref="J6" r:id="rId2" xr:uid="{00000000-0004-0000-0000-000001000000}"/>
    <hyperlink ref="B7" r:id="rId3" xr:uid="{00000000-0004-0000-0000-000002000000}"/>
    <hyperlink ref="J7" r:id="rId4" xr:uid="{00000000-0004-0000-0000-000003000000}"/>
    <hyperlink ref="B8" r:id="rId5" xr:uid="{00000000-0004-0000-0000-000004000000}"/>
    <hyperlink ref="J8" r:id="rId6" xr:uid="{00000000-0004-0000-0000-000005000000}"/>
    <hyperlink ref="B9" r:id="rId7" xr:uid="{00000000-0004-0000-0000-000006000000}"/>
    <hyperlink ref="J9" r:id="rId8" xr:uid="{00000000-0004-0000-0000-000007000000}"/>
    <hyperlink ref="B10" r:id="rId9" xr:uid="{00000000-0004-0000-0000-000008000000}"/>
    <hyperlink ref="J10" r:id="rId10" xr:uid="{00000000-0004-0000-0000-000009000000}"/>
    <hyperlink ref="B11" r:id="rId11" xr:uid="{00000000-0004-0000-0000-00000A000000}"/>
    <hyperlink ref="J11" r:id="rId12" xr:uid="{00000000-0004-0000-0000-00000B000000}"/>
    <hyperlink ref="B12" r:id="rId13" xr:uid="{00000000-0004-0000-0000-00000C000000}"/>
    <hyperlink ref="J12" r:id="rId14" xr:uid="{00000000-0004-0000-0000-00000D000000}"/>
    <hyperlink ref="B13" r:id="rId15" xr:uid="{00000000-0004-0000-0000-00000E000000}"/>
    <hyperlink ref="J13" r:id="rId16" xr:uid="{00000000-0004-0000-0000-00000F000000}"/>
    <hyperlink ref="B14" r:id="rId17" xr:uid="{00000000-0004-0000-0000-000010000000}"/>
    <hyperlink ref="J14" r:id="rId18" xr:uid="{00000000-0004-0000-0000-000011000000}"/>
    <hyperlink ref="B15" r:id="rId19" xr:uid="{00000000-0004-0000-0000-000012000000}"/>
    <hyperlink ref="J15" r:id="rId20" xr:uid="{00000000-0004-0000-0000-000013000000}"/>
    <hyperlink ref="B16" r:id="rId21" xr:uid="{00000000-0004-0000-0000-000014000000}"/>
    <hyperlink ref="J16" r:id="rId22" xr:uid="{00000000-0004-0000-0000-000015000000}"/>
    <hyperlink ref="B17" r:id="rId23" xr:uid="{00000000-0004-0000-0000-000016000000}"/>
    <hyperlink ref="J17" r:id="rId24" xr:uid="{00000000-0004-0000-0000-000017000000}"/>
    <hyperlink ref="B18" r:id="rId25" xr:uid="{00000000-0004-0000-0000-000018000000}"/>
    <hyperlink ref="J18" r:id="rId26" xr:uid="{00000000-0004-0000-0000-000019000000}"/>
    <hyperlink ref="B19" r:id="rId27" xr:uid="{00000000-0004-0000-0000-00001A000000}"/>
    <hyperlink ref="J19" r:id="rId28" xr:uid="{00000000-0004-0000-0000-00001B000000}"/>
    <hyperlink ref="B20" r:id="rId29" xr:uid="{00000000-0004-0000-0000-00001C000000}"/>
    <hyperlink ref="J20" r:id="rId30" xr:uid="{00000000-0004-0000-0000-00001D000000}"/>
    <hyperlink ref="B21" r:id="rId31" xr:uid="{00000000-0004-0000-0000-00001E000000}"/>
    <hyperlink ref="J21" r:id="rId32" xr:uid="{00000000-0004-0000-0000-00001F000000}"/>
    <hyperlink ref="B22" r:id="rId33" xr:uid="{00000000-0004-0000-0000-000020000000}"/>
    <hyperlink ref="J22" r:id="rId34" xr:uid="{00000000-0004-0000-0000-000021000000}"/>
    <hyperlink ref="B23" r:id="rId35" xr:uid="{00000000-0004-0000-0000-000022000000}"/>
    <hyperlink ref="J23" r:id="rId36" xr:uid="{00000000-0004-0000-0000-000023000000}"/>
    <hyperlink ref="B24" r:id="rId37" xr:uid="{00000000-0004-0000-0000-000024000000}"/>
    <hyperlink ref="J24" r:id="rId38" xr:uid="{00000000-0004-0000-0000-000025000000}"/>
    <hyperlink ref="B25" r:id="rId39" xr:uid="{00000000-0004-0000-0000-000026000000}"/>
    <hyperlink ref="J25" r:id="rId40" xr:uid="{00000000-0004-0000-0000-000027000000}"/>
    <hyperlink ref="B26" r:id="rId41" xr:uid="{00000000-0004-0000-0000-000028000000}"/>
    <hyperlink ref="J26" r:id="rId42" xr:uid="{00000000-0004-0000-0000-000029000000}"/>
    <hyperlink ref="B27" r:id="rId43" xr:uid="{00000000-0004-0000-0000-00002A000000}"/>
    <hyperlink ref="J27" r:id="rId44" xr:uid="{00000000-0004-0000-0000-00002B000000}"/>
    <hyperlink ref="I6" r:id="rId45" xr:uid="{529FAE4A-44B7-4FDD-8F12-0D7DF01A2E15}"/>
    <hyperlink ref="I7" r:id="rId46" xr:uid="{002EBDFB-50BC-40B6-874F-6981498FB9AF}"/>
    <hyperlink ref="I8" r:id="rId47" xr:uid="{CEB1CB96-729B-4142-86CF-D43766E19B55}"/>
    <hyperlink ref="I9" r:id="rId48" xr:uid="{EB529A4A-41F3-43F8-AF62-202FE656ECC5}"/>
    <hyperlink ref="I10" r:id="rId49" xr:uid="{C8BE7A3C-E832-464C-B6F6-9A5DACEC452A}"/>
    <hyperlink ref="I11" r:id="rId50" xr:uid="{E539BA9B-C6B9-417C-B8F4-99E642994D07}"/>
    <hyperlink ref="I12" r:id="rId51" xr:uid="{68D4B542-2008-469B-BB40-DB2179858B50}"/>
    <hyperlink ref="I13" r:id="rId52" xr:uid="{9A12E7B4-DA0B-47A5-B3C0-88C0C6FA0B5E}"/>
    <hyperlink ref="I14" r:id="rId53" xr:uid="{D89F82C6-5EDB-4CE2-B5EB-49BCCED38BE7}"/>
    <hyperlink ref="I15" r:id="rId54" xr:uid="{11318C2D-E89C-4BC2-A9C2-5FA6A4856FF3}"/>
    <hyperlink ref="I16" r:id="rId55" xr:uid="{9B694812-22E7-403C-A4F8-59694D28AF69}"/>
    <hyperlink ref="I17" r:id="rId56" xr:uid="{E016E9FB-C390-4FAE-993E-7ADFA0EFF65D}"/>
    <hyperlink ref="I18" r:id="rId57" xr:uid="{91DE63CF-B9FB-4332-A919-AC3C182ED43F}"/>
    <hyperlink ref="I19" r:id="rId58" xr:uid="{3FB29A9E-8086-4ECA-B72F-147C9F7F8DBD}"/>
    <hyperlink ref="I20" r:id="rId59" xr:uid="{BC079385-4DC9-4A4B-B65E-AAD8D85F05E9}"/>
    <hyperlink ref="I21" r:id="rId60" xr:uid="{72940DB4-BFAB-4AB7-8DBB-54B209419918}"/>
    <hyperlink ref="I22" r:id="rId61" xr:uid="{A5C75B36-6539-4496-9965-2D364D823CB9}"/>
    <hyperlink ref="I23" r:id="rId62" xr:uid="{F6AB3307-7473-4AE5-B4EC-BA31217D024A}"/>
    <hyperlink ref="I24" r:id="rId63" xr:uid="{63BD635B-8DE9-4094-959C-CD8EF7A7313D}"/>
    <hyperlink ref="I25" r:id="rId64" xr:uid="{A60FBE80-9777-4FBE-AE80-E14BAF974C51}"/>
    <hyperlink ref="I26" r:id="rId65" xr:uid="{AAE62067-4C95-4A38-97F8-6A02B288F4D2}"/>
    <hyperlink ref="I27" r:id="rId66" xr:uid="{D7EC0FBA-2D87-4DEA-9941-574DE99D3CAE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Z1000"/>
  <sheetViews>
    <sheetView workbookViewId="0"/>
  </sheetViews>
  <sheetFormatPr defaultColWidth="12.54296875" defaultRowHeight="15" customHeight="1"/>
  <cols>
    <col min="1" max="1" width="19.26953125" customWidth="1"/>
    <col min="2" max="2" width="5.54296875" customWidth="1"/>
    <col min="3" max="3" width="62.453125" customWidth="1"/>
    <col min="4" max="26" width="9.54296875" customWidth="1"/>
  </cols>
  <sheetData>
    <row r="1" spans="1:26" ht="15.75" customHeight="1">
      <c r="A1" s="23" t="s">
        <v>3</v>
      </c>
      <c r="B1" s="23" t="s">
        <v>149</v>
      </c>
      <c r="C1" s="23" t="s">
        <v>150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.75" customHeight="1">
      <c r="A2" s="25" t="s">
        <v>151</v>
      </c>
      <c r="B2" s="26">
        <v>0.2</v>
      </c>
      <c r="C2" s="25" t="s">
        <v>152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5.75" customHeight="1">
      <c r="A3" s="25" t="s">
        <v>153</v>
      </c>
      <c r="B3" s="26">
        <v>0.2</v>
      </c>
      <c r="C3" s="25" t="s">
        <v>154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5.75" customHeight="1">
      <c r="A4" s="25" t="s">
        <v>155</v>
      </c>
      <c r="B4" s="26">
        <v>0.2</v>
      </c>
      <c r="C4" s="25" t="s">
        <v>156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5.75" customHeight="1">
      <c r="A5" s="25" t="s">
        <v>157</v>
      </c>
      <c r="B5" s="26">
        <v>0.2</v>
      </c>
      <c r="C5" s="25" t="s">
        <v>158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.75" customHeight="1">
      <c r="A6" s="25" t="s">
        <v>4</v>
      </c>
      <c r="B6" s="26">
        <v>0.2</v>
      </c>
      <c r="C6" s="25" t="s">
        <v>159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5.75" customHeight="1">
      <c r="A7" s="27"/>
      <c r="B7" s="28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5.75" customHeight="1">
      <c r="A8" s="24"/>
      <c r="B8" s="28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>
      <c r="A9" s="24"/>
      <c r="B9" s="28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5.75" customHeight="1">
      <c r="A10" s="24"/>
      <c r="B10" s="28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5.75" customHeight="1">
      <c r="A11" s="24"/>
      <c r="B11" s="28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5.75" customHeight="1">
      <c r="A12" s="24"/>
      <c r="B12" s="28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5.75" customHeight="1">
      <c r="A13" s="24"/>
      <c r="B13" s="28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5.75" customHeight="1">
      <c r="A14" s="24"/>
      <c r="B14" s="28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>
      <c r="A15" s="24"/>
      <c r="B15" s="28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>
      <c r="A16" s="24"/>
      <c r="B16" s="28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.75" customHeight="1">
      <c r="A17" s="24"/>
      <c r="B17" s="28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>
      <c r="A18" s="24"/>
      <c r="B18" s="28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.75" customHeight="1">
      <c r="A19" s="24"/>
      <c r="B19" s="28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.75" customHeight="1">
      <c r="A20" s="24"/>
      <c r="B20" s="28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24"/>
      <c r="B21" s="28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24"/>
      <c r="B22" s="28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24"/>
      <c r="B23" s="28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5.75" customHeight="1">
      <c r="A24" s="24"/>
      <c r="B24" s="28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5.75" customHeight="1">
      <c r="A25" s="24"/>
      <c r="B25" s="28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5.75" customHeight="1">
      <c r="A26" s="24"/>
      <c r="B26" s="28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5.75" customHeight="1">
      <c r="A27" s="24"/>
      <c r="B27" s="28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5.75" customHeight="1">
      <c r="A28" s="24"/>
      <c r="B28" s="28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5.75" customHeight="1">
      <c r="A29" s="24"/>
      <c r="B29" s="28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5.75" customHeight="1">
      <c r="A30" s="24"/>
      <c r="B30" s="28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5.75" customHeight="1">
      <c r="A31" s="24"/>
      <c r="B31" s="28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5.75" customHeight="1">
      <c r="A32" s="24"/>
      <c r="B32" s="28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5.75" customHeight="1">
      <c r="A33" s="24"/>
      <c r="B33" s="28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5.75" customHeight="1">
      <c r="A34" s="24"/>
      <c r="B34" s="28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5.75" customHeight="1">
      <c r="A35" s="24"/>
      <c r="B35" s="28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5.75" customHeight="1">
      <c r="A36" s="24"/>
      <c r="B36" s="28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5.75" customHeight="1">
      <c r="A37" s="24"/>
      <c r="B37" s="28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5.75" customHeight="1">
      <c r="A38" s="24"/>
      <c r="B38" s="28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5.75" customHeight="1">
      <c r="A39" s="24"/>
      <c r="B39" s="28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5.75" customHeight="1">
      <c r="A40" s="24"/>
      <c r="B40" s="28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5.75" customHeight="1">
      <c r="A41" s="24"/>
      <c r="B41" s="28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5.75" customHeight="1">
      <c r="A42" s="24"/>
      <c r="B42" s="28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5.75" customHeight="1">
      <c r="A43" s="24"/>
      <c r="B43" s="28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5.75" customHeight="1">
      <c r="A44" s="24"/>
      <c r="B44" s="28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5.75" customHeight="1">
      <c r="A45" s="24"/>
      <c r="B45" s="28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5.75" customHeight="1">
      <c r="A46" s="24"/>
      <c r="B46" s="28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5.75" customHeight="1">
      <c r="A47" s="24"/>
      <c r="B47" s="28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5.75" customHeight="1">
      <c r="A48" s="24"/>
      <c r="B48" s="28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5.75" customHeight="1">
      <c r="A49" s="24"/>
      <c r="B49" s="28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5.75" customHeight="1">
      <c r="A50" s="24"/>
      <c r="B50" s="28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75" customHeight="1">
      <c r="A51" s="24"/>
      <c r="B51" s="28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>
      <c r="A52" s="24"/>
      <c r="B52" s="28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5.75" customHeight="1">
      <c r="A53" s="24"/>
      <c r="B53" s="28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5.75" customHeight="1">
      <c r="A54" s="24"/>
      <c r="B54" s="28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5.75" customHeight="1">
      <c r="A55" s="24"/>
      <c r="B55" s="28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customHeight="1">
      <c r="A56" s="24"/>
      <c r="B56" s="28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5.75" customHeight="1">
      <c r="A57" s="24"/>
      <c r="B57" s="28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5.75" customHeight="1">
      <c r="A58" s="24"/>
      <c r="B58" s="28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5.75" customHeight="1">
      <c r="A59" s="24"/>
      <c r="B59" s="28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5.75" customHeight="1">
      <c r="A60" s="24"/>
      <c r="B60" s="28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5.75" customHeight="1">
      <c r="A61" s="24"/>
      <c r="B61" s="28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5.75" customHeight="1">
      <c r="A62" s="24"/>
      <c r="B62" s="28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5.75" customHeight="1">
      <c r="A63" s="24"/>
      <c r="B63" s="28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5.75" customHeight="1">
      <c r="A64" s="24"/>
      <c r="B64" s="28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5.75" customHeight="1">
      <c r="A65" s="24"/>
      <c r="B65" s="28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5.75" customHeight="1">
      <c r="A66" s="24"/>
      <c r="B66" s="28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5.75" customHeight="1">
      <c r="A67" s="24"/>
      <c r="B67" s="28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customHeight="1">
      <c r="A68" s="24"/>
      <c r="B68" s="28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customHeight="1">
      <c r="A69" s="24"/>
      <c r="B69" s="28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customHeight="1">
      <c r="A70" s="24"/>
      <c r="B70" s="28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customHeight="1">
      <c r="A71" s="24"/>
      <c r="B71" s="28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customHeight="1">
      <c r="A72" s="24"/>
      <c r="B72" s="28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customHeight="1">
      <c r="A73" s="24"/>
      <c r="B73" s="28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customHeight="1">
      <c r="A74" s="24"/>
      <c r="B74" s="28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5.75" customHeight="1">
      <c r="A75" s="24"/>
      <c r="B75" s="28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5.75" customHeight="1">
      <c r="A76" s="24"/>
      <c r="B76" s="28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5.75" customHeight="1">
      <c r="A77" s="24"/>
      <c r="B77" s="28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5.75" customHeight="1">
      <c r="A78" s="24"/>
      <c r="B78" s="28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5.75" customHeight="1">
      <c r="A79" s="24"/>
      <c r="B79" s="28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5.75" customHeight="1">
      <c r="A80" s="24"/>
      <c r="B80" s="28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5.75" customHeight="1">
      <c r="A81" s="24"/>
      <c r="B81" s="28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5.75" customHeight="1">
      <c r="A82" s="24"/>
      <c r="B82" s="28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5.75" customHeight="1">
      <c r="A83" s="24"/>
      <c r="B83" s="28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5.75" customHeight="1">
      <c r="A84" s="24"/>
      <c r="B84" s="28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5.75" customHeight="1">
      <c r="A85" s="24"/>
      <c r="B85" s="28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5.75" customHeight="1">
      <c r="A86" s="24"/>
      <c r="B86" s="28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5.75" customHeight="1">
      <c r="A87" s="24"/>
      <c r="B87" s="28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5.75" customHeight="1">
      <c r="A88" s="24"/>
      <c r="B88" s="28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5.75" customHeight="1">
      <c r="A89" s="24"/>
      <c r="B89" s="28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5.75" customHeight="1">
      <c r="A90" s="24"/>
      <c r="B90" s="28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5.75" customHeight="1">
      <c r="A91" s="24"/>
      <c r="B91" s="28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5.75" customHeight="1">
      <c r="A92" s="24"/>
      <c r="B92" s="28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5.75" customHeight="1">
      <c r="A93" s="24"/>
      <c r="B93" s="28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5.75" customHeight="1">
      <c r="A94" s="24"/>
      <c r="B94" s="28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>
      <c r="A95" s="24"/>
      <c r="B95" s="28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>
      <c r="A96" s="24"/>
      <c r="B96" s="28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>
      <c r="A97" s="24"/>
      <c r="B97" s="28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>
      <c r="A98" s="24"/>
      <c r="B98" s="28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>
      <c r="A99" s="24"/>
      <c r="B99" s="28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5.75" customHeight="1">
      <c r="A100" s="24"/>
      <c r="B100" s="28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5.75" customHeight="1">
      <c r="A101" s="24"/>
      <c r="B101" s="28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5.75" customHeight="1">
      <c r="A102" s="24"/>
      <c r="B102" s="28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5.75" customHeight="1">
      <c r="A103" s="24"/>
      <c r="B103" s="28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5.75" customHeight="1">
      <c r="A104" s="24"/>
      <c r="B104" s="28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5.75" customHeight="1">
      <c r="A105" s="24"/>
      <c r="B105" s="28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5.75" customHeight="1">
      <c r="A106" s="24"/>
      <c r="B106" s="28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5.75" customHeight="1">
      <c r="A107" s="24"/>
      <c r="B107" s="28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5.75" customHeight="1">
      <c r="A108" s="24"/>
      <c r="B108" s="28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5.75" customHeight="1">
      <c r="A109" s="24"/>
      <c r="B109" s="28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5.75" customHeight="1">
      <c r="A110" s="24"/>
      <c r="B110" s="28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5.75" customHeight="1">
      <c r="A111" s="24"/>
      <c r="B111" s="28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5.75" customHeight="1">
      <c r="A112" s="24"/>
      <c r="B112" s="28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5.75" customHeight="1">
      <c r="A113" s="24"/>
      <c r="B113" s="28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5.75" customHeight="1">
      <c r="A114" s="24"/>
      <c r="B114" s="28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5.75" customHeight="1">
      <c r="A115" s="24"/>
      <c r="B115" s="28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5.75" customHeight="1">
      <c r="A116" s="24"/>
      <c r="B116" s="28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5.75" customHeight="1">
      <c r="A117" s="24"/>
      <c r="B117" s="28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5.75" customHeight="1">
      <c r="A118" s="24"/>
      <c r="B118" s="28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5.75" customHeight="1">
      <c r="A119" s="24"/>
      <c r="B119" s="28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5.75" customHeight="1">
      <c r="A120" s="24"/>
      <c r="B120" s="28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5.75" customHeight="1">
      <c r="A121" s="24"/>
      <c r="B121" s="28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5.75" customHeight="1">
      <c r="A122" s="24"/>
      <c r="B122" s="28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5.75" customHeight="1">
      <c r="A123" s="24"/>
      <c r="B123" s="28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5.75" customHeight="1">
      <c r="A124" s="24"/>
      <c r="B124" s="28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5.75" customHeight="1">
      <c r="A125" s="24"/>
      <c r="B125" s="28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5.75" customHeight="1">
      <c r="A126" s="24"/>
      <c r="B126" s="28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5.75" customHeight="1">
      <c r="A127" s="24"/>
      <c r="B127" s="28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5.75" customHeight="1">
      <c r="A128" s="24"/>
      <c r="B128" s="28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5.75" customHeight="1">
      <c r="A129" s="24"/>
      <c r="B129" s="28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5.75" customHeight="1">
      <c r="A130" s="24"/>
      <c r="B130" s="28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5.75" customHeight="1">
      <c r="A131" s="24"/>
      <c r="B131" s="28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5.75" customHeight="1">
      <c r="A132" s="24"/>
      <c r="B132" s="28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5.75" customHeight="1">
      <c r="A133" s="24"/>
      <c r="B133" s="28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5.75" customHeight="1">
      <c r="A134" s="24"/>
      <c r="B134" s="28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5.75" customHeight="1">
      <c r="A135" s="24"/>
      <c r="B135" s="28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5.75" customHeight="1">
      <c r="A136" s="24"/>
      <c r="B136" s="28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5.75" customHeight="1">
      <c r="A137" s="24"/>
      <c r="B137" s="28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5.75" customHeight="1">
      <c r="A138" s="24"/>
      <c r="B138" s="28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5.75" customHeight="1">
      <c r="A139" s="24"/>
      <c r="B139" s="28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5.75" customHeight="1">
      <c r="A140" s="24"/>
      <c r="B140" s="28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5.75" customHeight="1">
      <c r="A141" s="24"/>
      <c r="B141" s="28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5.75" customHeight="1">
      <c r="A142" s="24"/>
      <c r="B142" s="28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5.75" customHeight="1">
      <c r="A143" s="24"/>
      <c r="B143" s="28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5.75" customHeight="1">
      <c r="A144" s="24"/>
      <c r="B144" s="28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5.75" customHeight="1">
      <c r="A145" s="24"/>
      <c r="B145" s="28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5.75" customHeight="1">
      <c r="A146" s="24"/>
      <c r="B146" s="28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5.75" customHeight="1">
      <c r="A147" s="24"/>
      <c r="B147" s="28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5.75" customHeight="1">
      <c r="A148" s="24"/>
      <c r="B148" s="28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5.75" customHeight="1">
      <c r="A149" s="24"/>
      <c r="B149" s="28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5.75" customHeight="1">
      <c r="A150" s="24"/>
      <c r="B150" s="28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5.75" customHeight="1">
      <c r="A151" s="24"/>
      <c r="B151" s="28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5.75" customHeight="1">
      <c r="A152" s="24"/>
      <c r="B152" s="28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5.75" customHeight="1">
      <c r="A153" s="24"/>
      <c r="B153" s="28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5.75" customHeight="1">
      <c r="A154" s="24"/>
      <c r="B154" s="28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5.75" customHeight="1">
      <c r="A155" s="24"/>
      <c r="B155" s="28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5.75" customHeight="1">
      <c r="A156" s="24"/>
      <c r="B156" s="28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5.75" customHeight="1">
      <c r="A157" s="24"/>
      <c r="B157" s="28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5.75" customHeight="1">
      <c r="A158" s="24"/>
      <c r="B158" s="28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5.75" customHeight="1">
      <c r="A159" s="24"/>
      <c r="B159" s="28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5.75" customHeight="1">
      <c r="A160" s="24"/>
      <c r="B160" s="28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5.75" customHeight="1">
      <c r="A161" s="24"/>
      <c r="B161" s="28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5.75" customHeight="1">
      <c r="A162" s="24"/>
      <c r="B162" s="28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5.75" customHeight="1">
      <c r="A163" s="24"/>
      <c r="B163" s="28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5.75" customHeight="1">
      <c r="A164" s="24"/>
      <c r="B164" s="28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5.75" customHeight="1">
      <c r="A165" s="24"/>
      <c r="B165" s="28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5.75" customHeight="1">
      <c r="A166" s="24"/>
      <c r="B166" s="28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5.75" customHeight="1">
      <c r="A167" s="24"/>
      <c r="B167" s="28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5.75" customHeight="1">
      <c r="A168" s="24"/>
      <c r="B168" s="28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5.75" customHeight="1">
      <c r="A169" s="24"/>
      <c r="B169" s="28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5.75" customHeight="1">
      <c r="A170" s="24"/>
      <c r="B170" s="28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5.75" customHeight="1">
      <c r="A171" s="24"/>
      <c r="B171" s="28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5.75" customHeight="1">
      <c r="A172" s="24"/>
      <c r="B172" s="28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5.75" customHeight="1">
      <c r="A173" s="24"/>
      <c r="B173" s="28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5.75" customHeight="1">
      <c r="A174" s="24"/>
      <c r="B174" s="28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5.75" customHeight="1">
      <c r="A175" s="24"/>
      <c r="B175" s="28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5.75" customHeight="1">
      <c r="A176" s="24"/>
      <c r="B176" s="28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5.75" customHeight="1">
      <c r="A177" s="24"/>
      <c r="B177" s="28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5.75" customHeight="1">
      <c r="A178" s="24"/>
      <c r="B178" s="28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5.75" customHeight="1">
      <c r="A179" s="24"/>
      <c r="B179" s="28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5.75" customHeight="1">
      <c r="A180" s="24"/>
      <c r="B180" s="28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5.75" customHeight="1">
      <c r="A181" s="24"/>
      <c r="B181" s="28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5.75" customHeight="1">
      <c r="A182" s="24"/>
      <c r="B182" s="28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5.75" customHeight="1">
      <c r="A183" s="24"/>
      <c r="B183" s="28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5.75" customHeight="1">
      <c r="A184" s="24"/>
      <c r="B184" s="28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5.75" customHeight="1">
      <c r="A185" s="24"/>
      <c r="B185" s="28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5.75" customHeight="1">
      <c r="A186" s="24"/>
      <c r="B186" s="28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5.75" customHeight="1">
      <c r="A187" s="24"/>
      <c r="B187" s="28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5.75" customHeight="1">
      <c r="A188" s="24"/>
      <c r="B188" s="28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5.75" customHeight="1">
      <c r="A189" s="24"/>
      <c r="B189" s="28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5.75" customHeight="1">
      <c r="A190" s="24"/>
      <c r="B190" s="28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5.75" customHeight="1">
      <c r="A191" s="24"/>
      <c r="B191" s="28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5.75" customHeight="1">
      <c r="A192" s="24"/>
      <c r="B192" s="28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5.75" customHeight="1">
      <c r="A193" s="24"/>
      <c r="B193" s="28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5.75" customHeight="1">
      <c r="A194" s="24"/>
      <c r="B194" s="28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5.75" customHeight="1">
      <c r="A195" s="24"/>
      <c r="B195" s="28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5.75" customHeight="1">
      <c r="A196" s="24"/>
      <c r="B196" s="28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5.75" customHeight="1">
      <c r="A197" s="24"/>
      <c r="B197" s="28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5.75" customHeight="1">
      <c r="A198" s="24"/>
      <c r="B198" s="28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5.75" customHeight="1">
      <c r="A199" s="24"/>
      <c r="B199" s="28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5.75" customHeight="1">
      <c r="A200" s="24"/>
      <c r="B200" s="28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5.75" customHeight="1">
      <c r="A201" s="24"/>
      <c r="B201" s="28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5.75" customHeight="1">
      <c r="A202" s="24"/>
      <c r="B202" s="28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5.75" customHeight="1">
      <c r="A203" s="24"/>
      <c r="B203" s="28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5.75" customHeight="1">
      <c r="A204" s="24"/>
      <c r="B204" s="28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5.75" customHeight="1">
      <c r="A205" s="24"/>
      <c r="B205" s="28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5.75" customHeight="1">
      <c r="A206" s="24"/>
      <c r="B206" s="28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5.75" customHeight="1">
      <c r="A207" s="24"/>
      <c r="B207" s="28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5.75" customHeight="1">
      <c r="A208" s="24"/>
      <c r="B208" s="28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5.75" customHeight="1">
      <c r="A209" s="24"/>
      <c r="B209" s="28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5.75" customHeight="1">
      <c r="A210" s="24"/>
      <c r="B210" s="28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5.75" customHeight="1">
      <c r="A211" s="24"/>
      <c r="B211" s="28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5.75" customHeight="1">
      <c r="A212" s="24"/>
      <c r="B212" s="28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5.75" customHeight="1">
      <c r="A213" s="24"/>
      <c r="B213" s="28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5.75" customHeight="1">
      <c r="A214" s="24"/>
      <c r="B214" s="28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5.75" customHeight="1">
      <c r="A215" s="24"/>
      <c r="B215" s="28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5.75" customHeight="1">
      <c r="A216" s="24"/>
      <c r="B216" s="28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>
      <c r="A217" s="24"/>
      <c r="B217" s="28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>
      <c r="A218" s="24"/>
      <c r="B218" s="28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>
      <c r="A219" s="24"/>
      <c r="B219" s="28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>
      <c r="A220" s="24"/>
      <c r="B220" s="28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1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A84F"/>
    <outlinePr summaryBelow="0" summaryRight="0"/>
  </sheetPr>
  <dimension ref="A1:Z1000"/>
  <sheetViews>
    <sheetView workbookViewId="0"/>
  </sheetViews>
  <sheetFormatPr defaultColWidth="12.54296875" defaultRowHeight="15" customHeight="1"/>
  <cols>
    <col min="1" max="1" width="52.54296875" customWidth="1"/>
    <col min="2" max="26" width="9.54296875" customWidth="1"/>
  </cols>
  <sheetData>
    <row r="1" spans="1:26" ht="15.75" customHeight="1">
      <c r="A1" s="29" t="s">
        <v>160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customHeight="1">
      <c r="A2" s="30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customHeight="1">
      <c r="A3" s="25" t="s">
        <v>161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customHeight="1">
      <c r="A4" s="25" t="s">
        <v>162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.75" customHeight="1">
      <c r="A5" s="25" t="s">
        <v>163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customHeight="1">
      <c r="A6" s="25" t="s">
        <v>164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75" customHeight="1">
      <c r="A7" s="25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customHeight="1">
      <c r="A8" s="25" t="s">
        <v>165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customHeight="1">
      <c r="A9" s="25" t="s">
        <v>166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21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49F9-C6FA-41FA-A3E7-90DEFB0D8019}">
  <sheetPr>
    <outlinePr summaryBelow="0" summaryRight="0"/>
  </sheetPr>
  <dimension ref="A1:U1000"/>
  <sheetViews>
    <sheetView tabSelected="1" workbookViewId="0">
      <pane ySplit="5" topLeftCell="A6" activePane="bottomLeft" state="frozen"/>
      <selection pane="bottomLeft" activeCell="E21" sqref="E21"/>
    </sheetView>
  </sheetViews>
  <sheetFormatPr defaultColWidth="12.54296875" defaultRowHeight="15" customHeight="1"/>
  <cols>
    <col min="1" max="1" width="3.453125" customWidth="1"/>
    <col min="2" max="2" width="39.453125" bestFit="1" customWidth="1"/>
    <col min="3" max="3" width="28.54296875" customWidth="1"/>
    <col min="4" max="4" width="6.81640625" customWidth="1"/>
    <col min="5" max="5" width="9.26953125" customWidth="1"/>
    <col min="6" max="6" width="10.1796875" customWidth="1"/>
    <col min="7" max="7" width="10.453125" customWidth="1"/>
    <col min="8" max="8" width="30.1796875" customWidth="1"/>
    <col min="9" max="9" width="10.81640625" customWidth="1"/>
    <col min="10" max="10" width="74.453125" customWidth="1"/>
    <col min="11" max="21" width="13.54296875" customWidth="1"/>
  </cols>
  <sheetData>
    <row r="1" spans="1:21" ht="42.75" customHeight="1">
      <c r="A1" s="41" t="s">
        <v>0</v>
      </c>
      <c r="B1" s="4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9.75" customHeight="1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7">
      <c r="A3" s="44" t="s">
        <v>3</v>
      </c>
      <c r="B3" s="40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>
      <c r="A4" s="44" t="s">
        <v>6</v>
      </c>
      <c r="B4" s="40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thickBot="1">
      <c r="A5" s="6" t="s">
        <v>7</v>
      </c>
      <c r="B5" s="6" t="s">
        <v>8</v>
      </c>
      <c r="C5" s="1" t="s">
        <v>10</v>
      </c>
      <c r="D5" s="38" t="s">
        <v>11</v>
      </c>
      <c r="E5" s="39"/>
      <c r="F5" s="40"/>
      <c r="G5" s="7" t="s">
        <v>12</v>
      </c>
      <c r="H5" s="7" t="s">
        <v>13</v>
      </c>
      <c r="I5" s="7" t="s">
        <v>14</v>
      </c>
      <c r="J5" s="7" t="s">
        <v>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>
      <c r="A6" s="8">
        <v>1</v>
      </c>
      <c r="B6" s="9" t="s">
        <v>16</v>
      </c>
      <c r="C6" s="12" t="s">
        <v>17</v>
      </c>
      <c r="D6" s="13" t="s">
        <v>18</v>
      </c>
      <c r="E6" s="13" t="s">
        <v>19</v>
      </c>
      <c r="F6" s="13" t="s">
        <v>7</v>
      </c>
      <c r="G6" s="14" t="s">
        <v>20</v>
      </c>
      <c r="H6" s="15" t="s">
        <v>21</v>
      </c>
      <c r="I6" s="14" t="s">
        <v>22</v>
      </c>
      <c r="J6" s="15" t="s">
        <v>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>
      <c r="A7" s="16">
        <v>2</v>
      </c>
      <c r="B7" s="9" t="s">
        <v>24</v>
      </c>
      <c r="C7" s="12" t="s">
        <v>25</v>
      </c>
      <c r="D7" s="17">
        <v>1</v>
      </c>
      <c r="E7" s="17" t="e">
        <f>LARGE(#REF!, D7)</f>
        <v>#REF!</v>
      </c>
      <c r="F7" s="13">
        <f ca="1">IFERROR(__xludf.DUMMYFUNCTION("INDEX(FILTER($A$6:$A$27,$H$6:$H$27=K7),COUNTIF($K$7:K927,K7))"),8)</f>
        <v>8</v>
      </c>
      <c r="G7" s="14" t="s">
        <v>20</v>
      </c>
      <c r="H7" s="15" t="s">
        <v>27</v>
      </c>
      <c r="I7" s="14" t="s">
        <v>22</v>
      </c>
      <c r="J7" s="15" t="s">
        <v>29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>
      <c r="A8" s="16">
        <v>3</v>
      </c>
      <c r="B8" s="9" t="s">
        <v>30</v>
      </c>
      <c r="C8" s="12" t="s">
        <v>31</v>
      </c>
      <c r="D8" s="17">
        <v>2</v>
      </c>
      <c r="E8" s="17" t="e">
        <f>LARGE(#REF!, D8)</f>
        <v>#REF!</v>
      </c>
      <c r="F8" s="13">
        <f ca="1">IFERROR(__xludf.DUMMYFUNCTION("INDEX(FILTER($A$6:$A$27,$H$6:$H$27=K8),COUNTIF($K$8:K927,K8))"),7)</f>
        <v>7</v>
      </c>
      <c r="G8" s="14" t="s">
        <v>20</v>
      </c>
      <c r="H8" s="15" t="s">
        <v>33</v>
      </c>
      <c r="I8" s="14" t="s">
        <v>22</v>
      </c>
      <c r="J8" s="15" t="s">
        <v>23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>
      <c r="A9" s="16">
        <v>4</v>
      </c>
      <c r="B9" s="9" t="s">
        <v>36</v>
      </c>
      <c r="C9" s="12" t="s">
        <v>37</v>
      </c>
      <c r="D9" s="17">
        <v>3</v>
      </c>
      <c r="E9" s="17" t="e">
        <f>LARGE(#REF!, D9)</f>
        <v>#REF!</v>
      </c>
      <c r="F9" s="13">
        <f ca="1">IFERROR(__xludf.DUMMYFUNCTION("INDEX(FILTER($A$6:$A$27,$H$6:$H$27=K9),COUNTIF($K$9:K927,K9))"),6)</f>
        <v>6</v>
      </c>
      <c r="G9" s="14" t="s">
        <v>20</v>
      </c>
      <c r="H9" s="15" t="s">
        <v>39</v>
      </c>
      <c r="I9" s="14" t="s">
        <v>22</v>
      </c>
      <c r="J9" s="15" t="s">
        <v>23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>
      <c r="A10" s="16">
        <v>5</v>
      </c>
      <c r="B10" s="9" t="s">
        <v>42</v>
      </c>
      <c r="C10" s="12" t="s">
        <v>194</v>
      </c>
      <c r="D10" s="17">
        <v>4</v>
      </c>
      <c r="E10" s="17" t="e">
        <f>LARGE(#REF!, D10)</f>
        <v>#REF!</v>
      </c>
      <c r="F10" s="13">
        <f ca="1">IFERROR(__xludf.DUMMYFUNCTION("INDEX(FILTER($A$6:$A$27,$H$6:$H$27=K10),COUNTIF($K$10:K927,K10))"),5)</f>
        <v>5</v>
      </c>
      <c r="G10" s="14" t="s">
        <v>20</v>
      </c>
      <c r="H10" s="15" t="s">
        <v>44</v>
      </c>
      <c r="I10" s="14" t="s">
        <v>22</v>
      </c>
      <c r="J10" s="15" t="s">
        <v>23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>
      <c r="A11" s="16">
        <v>6</v>
      </c>
      <c r="B11" s="9" t="s">
        <v>47</v>
      </c>
      <c r="C11" s="12" t="s">
        <v>48</v>
      </c>
      <c r="D11" s="17">
        <v>5</v>
      </c>
      <c r="E11" s="17" t="e">
        <f>LARGE(#REF!, D11)</f>
        <v>#REF!</v>
      </c>
      <c r="F11" s="13">
        <f ca="1">IFERROR(__xludf.DUMMYFUNCTION("INDEX(FILTER($A$6:$A$27,$H$6:$H$27=K11),COUNTIF($K$11:K927,K11))"),4)</f>
        <v>4</v>
      </c>
      <c r="G11" s="14" t="s">
        <v>20</v>
      </c>
      <c r="H11" s="15" t="s">
        <v>50</v>
      </c>
      <c r="I11" s="14" t="s">
        <v>22</v>
      </c>
      <c r="J11" s="15" t="s">
        <v>23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>
      <c r="A12" s="16">
        <v>7</v>
      </c>
      <c r="B12" s="9" t="s">
        <v>53</v>
      </c>
      <c r="C12" s="12" t="s">
        <v>54</v>
      </c>
      <c r="D12" s="17">
        <v>6</v>
      </c>
      <c r="E12" s="17" t="e">
        <f>LARGE(#REF!, D12)</f>
        <v>#REF!</v>
      </c>
      <c r="F12" s="13">
        <f ca="1">IFERROR(__xludf.DUMMYFUNCTION("INDEX(FILTER($A$6:$A$27,$H$6:$H$27=K12),COUNTIF($K$12:K927,K12))"),3)</f>
        <v>3</v>
      </c>
      <c r="G12" s="14" t="s">
        <v>20</v>
      </c>
      <c r="H12" s="15" t="s">
        <v>56</v>
      </c>
      <c r="I12" s="14" t="s">
        <v>22</v>
      </c>
      <c r="J12" s="15" t="s">
        <v>23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>
      <c r="A13" s="16">
        <v>8</v>
      </c>
      <c r="B13" s="9" t="s">
        <v>59</v>
      </c>
      <c r="C13" s="12" t="s">
        <v>60</v>
      </c>
      <c r="D13" s="17">
        <v>7</v>
      </c>
      <c r="E13" s="17" t="e">
        <f>LARGE(#REF!, D13)</f>
        <v>#REF!</v>
      </c>
      <c r="F13" s="13">
        <f ca="1">IFERROR(__xludf.DUMMYFUNCTION("INDEX(FILTER($A$6:$A$27,$H$6:$H$27=K13),COUNTIF($K$13:K927,K13))"),2)</f>
        <v>2</v>
      </c>
      <c r="G13" s="14" t="s">
        <v>20</v>
      </c>
      <c r="H13" s="15" t="s">
        <v>62</v>
      </c>
      <c r="I13" s="14" t="s">
        <v>22</v>
      </c>
      <c r="J13" s="15" t="s">
        <v>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>
      <c r="A14" s="16">
        <v>9</v>
      </c>
      <c r="B14" s="18" t="s">
        <v>65</v>
      </c>
      <c r="C14" s="12" t="s">
        <v>66</v>
      </c>
      <c r="D14" s="17">
        <v>8</v>
      </c>
      <c r="E14" s="17" t="e">
        <f>LARGE(#REF!, D14)</f>
        <v>#REF!</v>
      </c>
      <c r="F14" s="13">
        <f ca="1">IFERROR(__xludf.DUMMYFUNCTION("INDEX(FILTER($A$6:$A$27,$H$6:$H$27=K14),COUNTIF($K$14:K927,K14))"),1)</f>
        <v>1</v>
      </c>
      <c r="G14" s="19" t="s">
        <v>67</v>
      </c>
      <c r="H14" s="15" t="s">
        <v>68</v>
      </c>
      <c r="I14" s="19" t="s">
        <v>69</v>
      </c>
      <c r="J14" s="20" t="s">
        <v>70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>
      <c r="A15" s="16">
        <v>10</v>
      </c>
      <c r="B15" s="9" t="s">
        <v>71</v>
      </c>
      <c r="C15" s="12" t="s">
        <v>72</v>
      </c>
      <c r="D15" s="2"/>
      <c r="E15" s="2"/>
      <c r="F15" s="21"/>
      <c r="G15" s="14" t="s">
        <v>20</v>
      </c>
      <c r="H15" s="15" t="s">
        <v>74</v>
      </c>
      <c r="I15" s="14" t="s">
        <v>22</v>
      </c>
      <c r="J15" s="15" t="s">
        <v>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>
      <c r="A16" s="16">
        <v>11</v>
      </c>
      <c r="B16" s="9" t="s">
        <v>77</v>
      </c>
      <c r="C16" s="12" t="s">
        <v>78</v>
      </c>
      <c r="D16" s="2"/>
      <c r="E16" s="2"/>
      <c r="F16" s="21"/>
      <c r="G16" s="14" t="s">
        <v>20</v>
      </c>
      <c r="H16" s="15" t="s">
        <v>80</v>
      </c>
      <c r="I16" s="14" t="s">
        <v>22</v>
      </c>
      <c r="J16" s="15" t="s">
        <v>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>
      <c r="A17" s="16">
        <v>12</v>
      </c>
      <c r="B17" s="9" t="s">
        <v>83</v>
      </c>
      <c r="C17" s="12" t="s">
        <v>84</v>
      </c>
      <c r="D17" s="1"/>
      <c r="E17" s="1"/>
      <c r="F17" s="1"/>
      <c r="G17" s="14" t="s">
        <v>20</v>
      </c>
      <c r="H17" s="15" t="s">
        <v>86</v>
      </c>
      <c r="I17" s="14" t="s">
        <v>22</v>
      </c>
      <c r="J17" s="15" t="s">
        <v>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>
      <c r="A18" s="16">
        <v>13</v>
      </c>
      <c r="B18" s="9" t="s">
        <v>89</v>
      </c>
      <c r="C18" s="12" t="s">
        <v>90</v>
      </c>
      <c r="D18" s="1"/>
      <c r="E18" s="1"/>
      <c r="F18" s="1"/>
      <c r="G18" s="14" t="s">
        <v>20</v>
      </c>
      <c r="H18" s="15" t="s">
        <v>92</v>
      </c>
      <c r="I18" s="14" t="s">
        <v>22</v>
      </c>
      <c r="J18" s="15" t="s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>
      <c r="A19" s="16">
        <v>14</v>
      </c>
      <c r="B19" s="9" t="s">
        <v>95</v>
      </c>
      <c r="C19" s="12" t="s">
        <v>96</v>
      </c>
      <c r="D19" s="1"/>
      <c r="E19" s="1"/>
      <c r="F19" s="1"/>
      <c r="G19" s="14" t="s">
        <v>20</v>
      </c>
      <c r="H19" s="15" t="s">
        <v>98</v>
      </c>
      <c r="I19" s="14" t="s">
        <v>22</v>
      </c>
      <c r="J19" s="15" t="s">
        <v>100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>
      <c r="A20" s="16">
        <v>15</v>
      </c>
      <c r="B20" s="9" t="s">
        <v>101</v>
      </c>
      <c r="C20" s="12" t="s">
        <v>102</v>
      </c>
      <c r="D20" s="1"/>
      <c r="E20" s="1"/>
      <c r="F20" s="1"/>
      <c r="G20" s="14" t="s">
        <v>20</v>
      </c>
      <c r="H20" s="15" t="s">
        <v>104</v>
      </c>
      <c r="I20" s="14" t="s">
        <v>22</v>
      </c>
      <c r="J20" s="15" t="s">
        <v>106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>
      <c r="A21" s="16">
        <v>16</v>
      </c>
      <c r="B21" s="9" t="s">
        <v>107</v>
      </c>
      <c r="C21" s="12" t="s">
        <v>108</v>
      </c>
      <c r="D21" s="1"/>
      <c r="E21" s="1"/>
      <c r="F21" s="1"/>
      <c r="G21" s="14" t="s">
        <v>20</v>
      </c>
      <c r="H21" s="15" t="s">
        <v>110</v>
      </c>
      <c r="I21" s="14" t="s">
        <v>22</v>
      </c>
      <c r="J21" s="15" t="s">
        <v>23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>
      <c r="A22" s="16">
        <v>17</v>
      </c>
      <c r="B22" s="9" t="s">
        <v>113</v>
      </c>
      <c r="C22" s="12" t="s">
        <v>114</v>
      </c>
      <c r="D22" s="1"/>
      <c r="E22" s="1"/>
      <c r="F22" s="1"/>
      <c r="G22" s="14" t="s">
        <v>20</v>
      </c>
      <c r="H22" s="15" t="s">
        <v>116</v>
      </c>
      <c r="I22" s="14" t="s">
        <v>22</v>
      </c>
      <c r="J22" s="15" t="s">
        <v>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>
      <c r="A23" s="16">
        <v>18</v>
      </c>
      <c r="B23" s="9" t="s">
        <v>119</v>
      </c>
      <c r="C23" s="12" t="s">
        <v>120</v>
      </c>
      <c r="D23" s="1"/>
      <c r="E23" s="1"/>
      <c r="F23" s="1"/>
      <c r="G23" s="14" t="s">
        <v>20</v>
      </c>
      <c r="H23" s="15" t="s">
        <v>122</v>
      </c>
      <c r="I23" s="19" t="s">
        <v>123</v>
      </c>
      <c r="J23" s="20" t="s">
        <v>124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>
      <c r="A24" s="16">
        <v>19</v>
      </c>
      <c r="B24" s="9" t="s">
        <v>125</v>
      </c>
      <c r="C24" s="12" t="s">
        <v>126</v>
      </c>
      <c r="D24" s="1"/>
      <c r="E24" s="1"/>
      <c r="F24" s="1"/>
      <c r="G24" s="14" t="s">
        <v>20</v>
      </c>
      <c r="H24" s="15" t="s">
        <v>128</v>
      </c>
      <c r="I24" s="14" t="s">
        <v>22</v>
      </c>
      <c r="J24" s="15" t="s">
        <v>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>
      <c r="A25" s="16">
        <v>20</v>
      </c>
      <c r="B25" s="9" t="s">
        <v>131</v>
      </c>
      <c r="C25" s="12" t="s">
        <v>132</v>
      </c>
      <c r="D25" s="1"/>
      <c r="E25" s="1"/>
      <c r="F25" s="1"/>
      <c r="G25" s="14" t="s">
        <v>20</v>
      </c>
      <c r="H25" s="15" t="s">
        <v>134</v>
      </c>
      <c r="I25" s="14" t="s">
        <v>22</v>
      </c>
      <c r="J25" s="15" t="s">
        <v>23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>
      <c r="A26" s="16">
        <v>21</v>
      </c>
      <c r="B26" s="9" t="s">
        <v>137</v>
      </c>
      <c r="C26" s="12" t="s">
        <v>138</v>
      </c>
      <c r="D26" s="1"/>
      <c r="E26" s="1"/>
      <c r="F26" s="1"/>
      <c r="G26" s="14" t="s">
        <v>20</v>
      </c>
      <c r="H26" s="15" t="s">
        <v>140</v>
      </c>
      <c r="I26" s="19" t="s">
        <v>123</v>
      </c>
      <c r="J26" s="20" t="s">
        <v>142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>
      <c r="A27" s="16">
        <v>22</v>
      </c>
      <c r="B27" s="9" t="s">
        <v>143</v>
      </c>
      <c r="C27" s="12" t="s">
        <v>144</v>
      </c>
      <c r="D27" s="1"/>
      <c r="E27" s="1"/>
      <c r="F27" s="1"/>
      <c r="G27" s="14" t="s">
        <v>20</v>
      </c>
      <c r="H27" s="15" t="s">
        <v>146</v>
      </c>
      <c r="I27" s="14" t="s">
        <v>22</v>
      </c>
      <c r="J27" s="15" t="s">
        <v>148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>
      <c r="A28" s="22"/>
      <c r="B28" s="2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>
      <c r="A29" s="22"/>
      <c r="B29" s="2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>
      <c r="A30" s="22"/>
      <c r="B30" s="2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>
      <c r="A31" s="22"/>
      <c r="B31" s="2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>
      <c r="A32" s="22"/>
      <c r="B32" s="2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>
      <c r="A33" s="22"/>
      <c r="B33" s="2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>
      <c r="A34" s="22"/>
      <c r="B34" s="2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>
      <c r="A35" s="22"/>
      <c r="B35" s="2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>
      <c r="A36" s="22"/>
      <c r="B36" s="2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>
      <c r="A37" s="22"/>
      <c r="B37" s="2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>
      <c r="A38" s="22"/>
      <c r="B38" s="2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>
      <c r="A39" s="22"/>
      <c r="B39" s="2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>
      <c r="A40" s="22"/>
      <c r="B40" s="2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>
      <c r="A41" s="22"/>
      <c r="B41" s="2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>
      <c r="A42" s="22"/>
      <c r="B42" s="2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>
      <c r="A43" s="22"/>
      <c r="B43" s="2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>
      <c r="A44" s="22"/>
      <c r="B44" s="2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>
      <c r="A45" s="22"/>
      <c r="B45" s="2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>
      <c r="A46" s="22"/>
      <c r="B46" s="2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>
      <c r="A47" s="22"/>
      <c r="B47" s="2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>
      <c r="A48" s="22"/>
      <c r="B48" s="2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>
      <c r="A49" s="22"/>
      <c r="B49" s="2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>
      <c r="A50" s="22"/>
      <c r="B50" s="2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>
      <c r="A51" s="22"/>
      <c r="B51" s="2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>
      <c r="A52" s="22"/>
      <c r="B52" s="2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>
      <c r="A53" s="22"/>
      <c r="B53" s="2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>
      <c r="A54" s="22"/>
      <c r="B54" s="2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>
      <c r="A55" s="22"/>
      <c r="B55" s="2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>
      <c r="A56" s="22"/>
      <c r="B56" s="2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>
      <c r="A57" s="22"/>
      <c r="B57" s="2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>
      <c r="A58" s="22"/>
      <c r="B58" s="2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>
      <c r="A59" s="22"/>
      <c r="B59" s="2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>
      <c r="A60" s="22"/>
      <c r="B60" s="2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>
      <c r="A61" s="22"/>
      <c r="B61" s="2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>
      <c r="A62" s="22"/>
      <c r="B62" s="2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>
      <c r="A63" s="22"/>
      <c r="B63" s="2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>
      <c r="A64" s="22"/>
      <c r="B64" s="2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>
      <c r="A65" s="22"/>
      <c r="B65" s="2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>
      <c r="A66" s="22"/>
      <c r="B66" s="2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>
      <c r="A67" s="22"/>
      <c r="B67" s="2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>
      <c r="A68" s="22"/>
      <c r="B68" s="2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>
      <c r="A69" s="22"/>
      <c r="B69" s="2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>
      <c r="A70" s="22"/>
      <c r="B70" s="2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>
      <c r="A71" s="22"/>
      <c r="B71" s="2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>
      <c r="A72" s="22"/>
      <c r="B72" s="2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>
      <c r="A73" s="22"/>
      <c r="B73" s="2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>
      <c r="A74" s="22"/>
      <c r="B74" s="2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>
      <c r="A75" s="22"/>
      <c r="B75" s="2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>
      <c r="A76" s="22"/>
      <c r="B76" s="2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>
      <c r="A77" s="22"/>
      <c r="B77" s="2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>
      <c r="A78" s="22"/>
      <c r="B78" s="2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>
      <c r="A79" s="22"/>
      <c r="B79" s="2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>
      <c r="A80" s="22"/>
      <c r="B80" s="2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>
      <c r="A81" s="22"/>
      <c r="B81" s="2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>
      <c r="A82" s="22"/>
      <c r="B82" s="2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>
      <c r="A83" s="22"/>
      <c r="B83" s="2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>
      <c r="A84" s="22"/>
      <c r="B84" s="2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>
      <c r="A85" s="22"/>
      <c r="B85" s="2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>
      <c r="A86" s="22"/>
      <c r="B86" s="2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>
      <c r="A87" s="22"/>
      <c r="B87" s="2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>
      <c r="A88" s="22"/>
      <c r="B88" s="2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>
      <c r="A89" s="22"/>
      <c r="B89" s="2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>
      <c r="A90" s="22"/>
      <c r="B90" s="2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>
      <c r="A91" s="22"/>
      <c r="B91" s="2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>
      <c r="A92" s="22"/>
      <c r="B92" s="2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>
      <c r="A93" s="22"/>
      <c r="B93" s="2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>
      <c r="A94" s="22"/>
      <c r="B94" s="2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>
      <c r="A95" s="22"/>
      <c r="B95" s="2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>
      <c r="A96" s="22"/>
      <c r="B96" s="2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>
      <c r="A97" s="22"/>
      <c r="B97" s="2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>
      <c r="A98" s="22"/>
      <c r="B98" s="2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>
      <c r="A99" s="22"/>
      <c r="B99" s="2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>
      <c r="A100" s="22"/>
      <c r="B100" s="2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>
      <c r="A101" s="22"/>
      <c r="B101" s="2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>
      <c r="A102" s="22"/>
      <c r="B102" s="2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>
      <c r="A103" s="22"/>
      <c r="B103" s="2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>
      <c r="A104" s="22"/>
      <c r="B104" s="2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>
      <c r="A105" s="22"/>
      <c r="B105" s="2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>
      <c r="A106" s="22"/>
      <c r="B106" s="2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>
      <c r="A107" s="22"/>
      <c r="B107" s="2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>
      <c r="A108" s="22"/>
      <c r="B108" s="2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>
      <c r="A109" s="22"/>
      <c r="B109" s="2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>
      <c r="A110" s="22"/>
      <c r="B110" s="2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>
      <c r="A111" s="22"/>
      <c r="B111" s="2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>
      <c r="A112" s="22"/>
      <c r="B112" s="2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>
      <c r="A113" s="22"/>
      <c r="B113" s="2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>
      <c r="A114" s="22"/>
      <c r="B114" s="2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>
      <c r="A115" s="22"/>
      <c r="B115" s="2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>
      <c r="A116" s="22"/>
      <c r="B116" s="2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>
      <c r="A117" s="22"/>
      <c r="B117" s="2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>
      <c r="A118" s="22"/>
      <c r="B118" s="2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>
      <c r="A119" s="22"/>
      <c r="B119" s="2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>
      <c r="A120" s="22"/>
      <c r="B120" s="2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>
      <c r="A121" s="22"/>
      <c r="B121" s="2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>
      <c r="A122" s="22"/>
      <c r="B122" s="2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>
      <c r="A123" s="22"/>
      <c r="B123" s="2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>
      <c r="A124" s="22"/>
      <c r="B124" s="2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>
      <c r="A125" s="22"/>
      <c r="B125" s="2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>
      <c r="A126" s="22"/>
      <c r="B126" s="2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>
      <c r="A127" s="22"/>
      <c r="B127" s="2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>
      <c r="A128" s="22"/>
      <c r="B128" s="2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>
      <c r="A129" s="22"/>
      <c r="B129" s="2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>
      <c r="A130" s="22"/>
      <c r="B130" s="2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>
      <c r="A131" s="22"/>
      <c r="B131" s="2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>
      <c r="A132" s="22"/>
      <c r="B132" s="2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>
      <c r="A133" s="22"/>
      <c r="B133" s="2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>
      <c r="A134" s="22"/>
      <c r="B134" s="2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>
      <c r="A135" s="22"/>
      <c r="B135" s="2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>
      <c r="A136" s="22"/>
      <c r="B136" s="2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>
      <c r="A137" s="22"/>
      <c r="B137" s="2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>
      <c r="A138" s="22"/>
      <c r="B138" s="2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>
      <c r="A139" s="22"/>
      <c r="B139" s="2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>
      <c r="A140" s="22"/>
      <c r="B140" s="2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>
      <c r="A141" s="22"/>
      <c r="B141" s="2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>
      <c r="A142" s="22"/>
      <c r="B142" s="2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>
      <c r="A143" s="22"/>
      <c r="B143" s="2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>
      <c r="A144" s="22"/>
      <c r="B144" s="2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>
      <c r="A145" s="22"/>
      <c r="B145" s="2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>
      <c r="A146" s="22"/>
      <c r="B146" s="2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>
      <c r="A147" s="22"/>
      <c r="B147" s="2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>
      <c r="A148" s="22"/>
      <c r="B148" s="2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>
      <c r="A149" s="22"/>
      <c r="B149" s="2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>
      <c r="A150" s="22"/>
      <c r="B150" s="2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>
      <c r="A151" s="22"/>
      <c r="B151" s="2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>
      <c r="A152" s="22"/>
      <c r="B152" s="2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>
      <c r="A153" s="22"/>
      <c r="B153" s="2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>
      <c r="A154" s="22"/>
      <c r="B154" s="2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>
      <c r="A155" s="22"/>
      <c r="B155" s="2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>
      <c r="A156" s="22"/>
      <c r="B156" s="2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>
      <c r="A157" s="22"/>
      <c r="B157" s="2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>
      <c r="A158" s="22"/>
      <c r="B158" s="2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>
      <c r="A159" s="22"/>
      <c r="B159" s="2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>
      <c r="A160" s="22"/>
      <c r="B160" s="2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>
      <c r="A161" s="22"/>
      <c r="B161" s="2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>
      <c r="A162" s="22"/>
      <c r="B162" s="2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>
      <c r="A163" s="22"/>
      <c r="B163" s="2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>
      <c r="A164" s="22"/>
      <c r="B164" s="2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>
      <c r="A165" s="22"/>
      <c r="B165" s="2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>
      <c r="A166" s="22"/>
      <c r="B166" s="2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>
      <c r="A167" s="22"/>
      <c r="B167" s="2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>
      <c r="A168" s="22"/>
      <c r="B168" s="2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>
      <c r="A169" s="22"/>
      <c r="B169" s="2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>
      <c r="A170" s="22"/>
      <c r="B170" s="2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>
      <c r="A171" s="22"/>
      <c r="B171" s="2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>
      <c r="A172" s="22"/>
      <c r="B172" s="2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>
      <c r="A173" s="22"/>
      <c r="B173" s="2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>
      <c r="A174" s="22"/>
      <c r="B174" s="2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>
      <c r="A175" s="22"/>
      <c r="B175" s="2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>
      <c r="A176" s="22"/>
      <c r="B176" s="2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>
      <c r="A177" s="22"/>
      <c r="B177" s="2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>
      <c r="A178" s="22"/>
      <c r="B178" s="2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>
      <c r="A179" s="22"/>
      <c r="B179" s="2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>
      <c r="A180" s="22"/>
      <c r="B180" s="2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>
      <c r="A181" s="22"/>
      <c r="B181" s="2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>
      <c r="A182" s="22"/>
      <c r="B182" s="2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>
      <c r="A183" s="22"/>
      <c r="B183" s="2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>
      <c r="A184" s="22"/>
      <c r="B184" s="2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>
      <c r="A185" s="22"/>
      <c r="B185" s="2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>
      <c r="A186" s="22"/>
      <c r="B186" s="2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>
      <c r="A187" s="22"/>
      <c r="B187" s="2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>
      <c r="A188" s="22"/>
      <c r="B188" s="2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>
      <c r="A189" s="22"/>
      <c r="B189" s="2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>
      <c r="A190" s="22"/>
      <c r="B190" s="2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>
      <c r="A191" s="22"/>
      <c r="B191" s="2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>
      <c r="A192" s="22"/>
      <c r="B192" s="2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>
      <c r="A193" s="22"/>
      <c r="B193" s="2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>
      <c r="A194" s="22"/>
      <c r="B194" s="2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>
      <c r="A195" s="22"/>
      <c r="B195" s="2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>
      <c r="A196" s="22"/>
      <c r="B196" s="2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>
      <c r="A197" s="22"/>
      <c r="B197" s="2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>
      <c r="A198" s="22"/>
      <c r="B198" s="2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>
      <c r="A199" s="22"/>
      <c r="B199" s="2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>
      <c r="A200" s="22"/>
      <c r="B200" s="2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>
      <c r="A201" s="22"/>
      <c r="B201" s="2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>
      <c r="A202" s="22"/>
      <c r="B202" s="2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>
      <c r="A203" s="22"/>
      <c r="B203" s="2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>
      <c r="A204" s="22"/>
      <c r="B204" s="2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>
      <c r="A205" s="22"/>
      <c r="B205" s="2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>
      <c r="A206" s="22"/>
      <c r="B206" s="2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>
      <c r="A207" s="22"/>
      <c r="B207" s="2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>
      <c r="A208" s="22"/>
      <c r="B208" s="2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>
      <c r="A209" s="22"/>
      <c r="B209" s="2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>
      <c r="A210" s="22"/>
      <c r="B210" s="2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>
      <c r="A211" s="22"/>
      <c r="B211" s="2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>
      <c r="A212" s="22"/>
      <c r="B212" s="2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>
      <c r="A213" s="22"/>
      <c r="B213" s="2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>
      <c r="A214" s="22"/>
      <c r="B214" s="2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>
      <c r="A215" s="22"/>
      <c r="B215" s="2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>
      <c r="A216" s="22"/>
      <c r="B216" s="2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>
      <c r="A217" s="22"/>
      <c r="B217" s="2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>
      <c r="A218" s="22"/>
      <c r="B218" s="2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>
      <c r="A219" s="22"/>
      <c r="B219" s="2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>
      <c r="A220" s="22"/>
      <c r="B220" s="2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>
      <c r="A221" s="22"/>
      <c r="B221" s="2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>
      <c r="A222" s="22"/>
      <c r="B222" s="2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>
      <c r="A223" s="22"/>
      <c r="B223" s="2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>
      <c r="A224" s="22"/>
      <c r="B224" s="2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>
      <c r="A225" s="22"/>
      <c r="B225" s="2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>
      <c r="A226" s="22"/>
      <c r="B226" s="2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>
      <c r="A227" s="22"/>
      <c r="B227" s="2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/>
    <row r="229" spans="1:21" ht="15.75" customHeight="1"/>
    <row r="230" spans="1:21" ht="15.75" customHeight="1"/>
    <row r="231" spans="1:21" ht="15.75" customHeight="1"/>
    <row r="232" spans="1:21" ht="15.75" customHeight="1"/>
    <row r="233" spans="1:21" ht="15.75" customHeight="1"/>
    <row r="234" spans="1:21" ht="15.75" customHeight="1"/>
    <row r="235" spans="1:21" ht="15.75" customHeight="1"/>
    <row r="236" spans="1:21" ht="15.75" customHeight="1"/>
    <row r="237" spans="1:21" ht="15.75" customHeight="1"/>
    <row r="238" spans="1:21" ht="15.75" customHeight="1"/>
    <row r="239" spans="1:21" ht="15.75" customHeight="1"/>
    <row r="240" spans="1:2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5:F5"/>
    <mergeCell ref="A1:B1"/>
    <mergeCell ref="A3:B3"/>
    <mergeCell ref="A4:B4"/>
  </mergeCells>
  <phoneticPr fontId="21" type="noConversion"/>
  <hyperlinks>
    <hyperlink ref="B6" r:id="rId1" xr:uid="{B581B6AD-7A3D-4153-9A77-6D3471B902D6}"/>
    <hyperlink ref="C6" r:id="rId2" xr:uid="{B46E5A80-47E4-4B71-B39F-800CA37E2A27}"/>
    <hyperlink ref="B7" r:id="rId3" xr:uid="{09267DB2-3A16-4E78-BD2A-FCA13555A560}"/>
    <hyperlink ref="C7" r:id="rId4" xr:uid="{6A93A6D1-8933-4775-88DD-CE7D61A55E83}"/>
    <hyperlink ref="B8" r:id="rId5" xr:uid="{28B4074D-98DA-49A9-AE20-164068C9534F}"/>
    <hyperlink ref="C8" r:id="rId6" xr:uid="{4F1AC415-6AA1-4BDB-A7B0-2C464660D4FB}"/>
    <hyperlink ref="B9" r:id="rId7" xr:uid="{95CE445B-0426-4428-AC2E-8C7532484C69}"/>
    <hyperlink ref="C9" r:id="rId8" xr:uid="{402FDE07-D56C-45C0-BDA7-4CAFBD146688}"/>
    <hyperlink ref="B10" r:id="rId9" xr:uid="{B8AFBE6C-5059-402C-8AE4-7E0D79F913A4}"/>
    <hyperlink ref="C10" r:id="rId10" xr:uid="{790F996D-7136-46B3-880B-B707BCB3A282}"/>
    <hyperlink ref="B11" r:id="rId11" xr:uid="{4E356848-B6A4-4D0D-829E-AC8BD9A672E3}"/>
    <hyperlink ref="C11" r:id="rId12" xr:uid="{A783DED5-A6CB-4188-8814-45ADF325FA59}"/>
    <hyperlink ref="B12" r:id="rId13" xr:uid="{8413E0E5-8F1F-4E81-8CCE-B7B5C338F77E}"/>
    <hyperlink ref="C12" r:id="rId14" xr:uid="{29845195-B369-45CF-8615-E82B64990CD6}"/>
    <hyperlink ref="B13" r:id="rId15" xr:uid="{C70F0FAF-A1F1-4A9F-8635-1BE899700670}"/>
    <hyperlink ref="C13" r:id="rId16" xr:uid="{7C5CBD04-813B-4B20-8B2B-27C6EA7E1A7B}"/>
    <hyperlink ref="B14" r:id="rId17" xr:uid="{F66C8925-4AA3-44C1-824D-057103D92FA3}"/>
    <hyperlink ref="C14" r:id="rId18" xr:uid="{0F91044E-52FC-4800-A7AC-FD16E7322F34}"/>
    <hyperlink ref="B15" r:id="rId19" xr:uid="{617A2076-D0BA-4551-8511-5652F4B562BF}"/>
    <hyperlink ref="C15" r:id="rId20" xr:uid="{FF8AD8B1-CD3C-4517-9C96-3B4B7046F560}"/>
    <hyperlink ref="B16" r:id="rId21" xr:uid="{D224DB25-AA2C-4B8F-98E3-8AFFC1432E6C}"/>
    <hyperlink ref="C16" r:id="rId22" xr:uid="{8DD353C0-359A-4247-A1D5-5C296D78BCD7}"/>
    <hyperlink ref="B17" r:id="rId23" xr:uid="{6DC57F7F-51D4-46AF-911F-6A4E6D6AA689}"/>
    <hyperlink ref="C17" r:id="rId24" xr:uid="{F6C5CB7B-C78F-4967-AB20-BE410D271A51}"/>
    <hyperlink ref="B18" r:id="rId25" xr:uid="{AE0A2161-EC80-4994-9363-18520A3EED21}"/>
    <hyperlink ref="C18" r:id="rId26" xr:uid="{A7008213-3C08-41A9-81D1-3AE1BBD4DEAB}"/>
    <hyperlink ref="B19" r:id="rId27" xr:uid="{0C14608E-B0E1-4C88-BF71-639E0B0FC639}"/>
    <hyperlink ref="C19" r:id="rId28" xr:uid="{221051E3-2322-45C4-ABBF-47713B483E18}"/>
    <hyperlink ref="B20" r:id="rId29" xr:uid="{5082F41D-BF5F-423F-BDEB-B2604ACEE3E1}"/>
    <hyperlink ref="C20" r:id="rId30" xr:uid="{F5254E69-2081-4D2C-A1F5-3AB2B36DB378}"/>
    <hyperlink ref="B21" r:id="rId31" xr:uid="{D98EFC6E-1785-428B-89A4-6E63AB0347F9}"/>
    <hyperlink ref="C21" r:id="rId32" xr:uid="{EFFDB080-C9B6-418A-A0D9-2E99F3CFA652}"/>
    <hyperlink ref="B22" r:id="rId33" xr:uid="{0531A67E-1FE8-4075-8AC6-D15F3D9DB6B6}"/>
    <hyperlink ref="C22" r:id="rId34" xr:uid="{21DF5E03-3DAF-4BF4-A049-545BF0D1DD59}"/>
    <hyperlink ref="B23" r:id="rId35" xr:uid="{29FFB6DF-14A3-4560-8CB2-5DE58D99AA06}"/>
    <hyperlink ref="C23" r:id="rId36" xr:uid="{E3888385-190D-46A0-B425-666F3FFF579F}"/>
    <hyperlink ref="B24" r:id="rId37" xr:uid="{B8E3A72F-2AC1-49D5-AD38-F37266E94B73}"/>
    <hyperlink ref="C24" r:id="rId38" xr:uid="{D0733EF8-23A1-4E16-B90E-D75CD3C0F8A0}"/>
    <hyperlink ref="B25" r:id="rId39" xr:uid="{7FC77AF8-EE5D-41EC-8DBE-2562EE95809C}"/>
    <hyperlink ref="C25" r:id="rId40" xr:uid="{D4D3AD36-930A-4171-B6FF-3E275D800392}"/>
    <hyperlink ref="B26" r:id="rId41" xr:uid="{CCB86CEC-85B8-46CE-AA3B-C643513186B2}"/>
    <hyperlink ref="C26" r:id="rId42" xr:uid="{7520E139-CD9A-4C2B-85E7-2A88460C61AE}"/>
    <hyperlink ref="B27" r:id="rId43" xr:uid="{7FB3DFEF-056A-408D-BBE6-EAD579DF07B1}"/>
    <hyperlink ref="C27" r:id="rId44" xr:uid="{DCE740D4-2004-44F5-9BF7-2B6F92D5DB7B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國中組</vt:lpstr>
      <vt:lpstr>評分標準</vt:lpstr>
      <vt:lpstr>優勝獎勵</vt:lpstr>
      <vt:lpstr>國中組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鄭栢堯 (2026boyau)</cp:lastModifiedBy>
  <dcterms:created xsi:type="dcterms:W3CDTF">2026-06-18T08:08:38Z</dcterms:created>
  <dcterms:modified xsi:type="dcterms:W3CDTF">2026-06-21T13:08:51Z</dcterms:modified>
</cp:coreProperties>
</file>